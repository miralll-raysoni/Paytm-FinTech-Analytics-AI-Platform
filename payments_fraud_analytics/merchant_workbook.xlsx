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220" tabRatio="703" activeTab="4"/>
  </bookViews>
  <sheets>
    <sheet name="Ledger" sheetId="1" r:id="rId1"/>
    <sheet name="Merchants" sheetId="2" r:id="rId2"/>
    <sheet name="MDR Rates" sheetId="4" r:id="rId3"/>
    <sheet name="Transactions-view sheet" sheetId="3" r:id="rId4"/>
    <sheet name="Pivot Table" sheetId="6" r:id="rId5"/>
  </sheets>
  <definedNames>
    <definedName name="_xlnm._FilterDatabase" localSheetId="0" hidden="1">Ledger!$A$1:$H$548</definedName>
    <definedName name="_xlnm._FilterDatabase" localSheetId="1" hidden="1">Merchants!$A$1:$D$41</definedName>
    <definedName name="_xlnm._FilterDatabase" localSheetId="3" hidden="1">'Transactions-view sheet'!$A$1:$P$548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<sst xmlns="http://schemas.openxmlformats.org/spreadsheetml/2006/main" count="3936" uniqueCount="665">
  <si>
    <t>transaction_id</t>
  </si>
  <si>
    <t>user_id</t>
  </si>
  <si>
    <t>merchant_id</t>
  </si>
  <si>
    <t>transaction_time</t>
  </si>
  <si>
    <t>amount_inr</t>
  </si>
  <si>
    <t>payment_method</t>
  </si>
  <si>
    <t>status</t>
  </si>
  <si>
    <t>risk_score</t>
  </si>
  <si>
    <t>TXN100000</t>
  </si>
  <si>
    <t>Wallet</t>
  </si>
  <si>
    <t>captured</t>
  </si>
  <si>
    <t>TXN100001</t>
  </si>
  <si>
    <t>UPI</t>
  </si>
  <si>
    <t>TXN100002</t>
  </si>
  <si>
    <t>TXN100003</t>
  </si>
  <si>
    <t>Netbanking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</si>
  <si>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</si>
  <si>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</si>
  <si>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</si>
  <si>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</si>
  <si>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</si>
  <si>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</si>
  <si>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</si>
  <si>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</si>
  <si>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</si>
  <si>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</si>
  <si>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</si>
  <si>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</si>
  <si>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</si>
  <si>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</si>
  <si>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</si>
  <si>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</si>
  <si>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</si>
  <si>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</si>
  <si>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</si>
  <si>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</si>
  <si>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</si>
  <si>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</si>
  <si>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</si>
  <si>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</si>
  <si>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</si>
  <si>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</si>
  <si>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</si>
  <si>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</si>
  <si>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</si>
  <si>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</si>
  <si>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</si>
  <si>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</si>
  <si>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</si>
  <si>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</si>
  <si>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</si>
  <si>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</si>
  <si>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</si>
  <si>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</si>
  <si>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</si>
  <si>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</si>
  <si>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</si>
  <si>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</si>
  <si>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</si>
  <si>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</si>
  <si>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</si>
  <si>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</si>
  <si>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</si>
  <si>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</si>
  <si>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</si>
  <si>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</si>
  <si>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</si>
  <si>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</si>
  <si>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</si>
  <si>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</si>
  <si>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</si>
  <si>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</si>
  <si>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</si>
  <si>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</si>
  <si>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</si>
  <si>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</si>
  <si>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</si>
  <si>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</si>
  <si>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</si>
  <si>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</si>
  <si>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</si>
  <si>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</si>
  <si>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</si>
  <si>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</si>
  <si>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</si>
  <si>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</si>
  <si>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</si>
  <si>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</si>
  <si>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</si>
  <si>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</si>
  <si>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</si>
  <si>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</si>
  <si>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</si>
  <si>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</si>
  <si>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</si>
  <si>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</si>
  <si>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</si>
  <si>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</si>
  <si>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</si>
  <si>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</si>
  <si>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</si>
  <si>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</si>
  <si>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</si>
  <si>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</si>
  <si>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</si>
  <si>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</si>
  <si>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</si>
  <si>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</si>
  <si>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</si>
  <si>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</si>
  <si>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</si>
  <si>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</si>
  <si>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</si>
  <si>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</si>
  <si>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</si>
  <si>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</si>
  <si>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</si>
  <si>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</si>
  <si>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</si>
  <si>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</si>
  <si>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</si>
  <si>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</si>
  <si>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</si>
  <si>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</si>
  <si>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</si>
  <si>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</si>
  <si>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</si>
  <si>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</si>
  <si>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</si>
  <si>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</si>
  <si>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</si>
  <si>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</si>
  <si>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</si>
  <si>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</si>
  <si>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</si>
  <si>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</si>
  <si>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</si>
  <si>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</si>
  <si>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</si>
  <si>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</si>
  <si>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</si>
  <si>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</si>
  <si>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</si>
  <si>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</si>
  <si>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</si>
  <si>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</si>
  <si>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</si>
  <si>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</si>
  <si>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</si>
  <si>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</si>
  <si>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</si>
  <si>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</si>
  <si>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</si>
  <si>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</si>
  <si>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</si>
  <si>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</si>
  <si>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</si>
  <si>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</si>
  <si>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</si>
  <si>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</si>
  <si>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</si>
  <si>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</si>
  <si>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</si>
  <si>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</si>
  <si>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</si>
  <si>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</si>
  <si>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</si>
  <si>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</si>
  <si>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</si>
  <si>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</si>
  <si>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</si>
  <si>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</si>
  <si>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</si>
  <si>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</si>
  <si>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</si>
  <si>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</si>
  <si>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</si>
  <si>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</si>
  <si>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</si>
  <si>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</si>
  <si>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</si>
  <si>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</si>
  <si>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</si>
  <si>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</si>
  <si>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</si>
  <si>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</si>
  <si>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</si>
  <si>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</si>
  <si>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</si>
  <si>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</si>
  <si>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</si>
  <si>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</si>
  <si>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</si>
  <si>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</si>
  <si>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</si>
  <si>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</si>
  <si>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</si>
  <si>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</si>
  <si>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</si>
  <si>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</si>
  <si>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</si>
  <si>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</si>
  <si>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</si>
  <si>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</si>
  <si>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</si>
  <si>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</si>
  <si>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</si>
  <si>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</si>
  <si>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</si>
  <si>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</si>
  <si>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</si>
  <si>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</si>
  <si>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</si>
  <si>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</si>
  <si>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</si>
  <si>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</si>
  <si>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</si>
  <si>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</si>
  <si>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</si>
  <si>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</si>
  <si>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</si>
  <si>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</si>
  <si>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</si>
  <si>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</si>
  <si>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</si>
  <si>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</si>
  <si>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</si>
  <si>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</si>
  <si>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</si>
  <si>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</si>
  <si>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</si>
  <si>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</si>
  <si>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</si>
  <si>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</si>
  <si>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</si>
  <si>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</si>
  <si>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</si>
  <si>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</si>
  <si>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</si>
  <si>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</si>
  <si>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</si>
  <si>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</si>
  <si>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</si>
  <si>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</si>
  <si>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</si>
  <si>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</si>
  <si>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</si>
  <si>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</si>
  <si>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</si>
  <si>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</si>
  <si>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</si>
  <si>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</si>
  <si>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</si>
  <si>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</si>
  <si>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</si>
  <si>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</si>
  <si>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</si>
  <si>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</si>
  <si>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</si>
  <si>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</si>
  <si>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</si>
  <si>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</si>
  <si>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</si>
  <si>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</si>
  <si>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</si>
  <si>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</si>
  <si>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</si>
  <si>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</si>
  <si>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</si>
  <si>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</si>
  <si>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</si>
  <si>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</si>
  <si>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</si>
  <si>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</si>
  <si>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</si>
  <si>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</si>
  <si>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</si>
  <si>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</si>
  <si>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</si>
  <si>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</si>
  <si>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</si>
  <si>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</si>
  <si>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</si>
  <si>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</si>
  <si>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</si>
  <si>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</si>
  <si>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</si>
  <si>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</si>
  <si>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</si>
  <si>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</si>
  <si>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</si>
  <si>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</si>
  <si>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</si>
  <si>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</si>
  <si>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</si>
  <si>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</si>
  <si>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</si>
  <si>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</si>
  <si>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</si>
  <si>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</si>
  <si>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</si>
  <si>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</si>
  <si>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</si>
  <si>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</si>
  <si>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</si>
  <si>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</si>
  <si>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</si>
  <si>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</si>
  <si>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</si>
  <si>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</si>
  <si>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</si>
  <si>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</si>
  <si>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</si>
  <si>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</si>
  <si>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</si>
  <si>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</si>
  <si>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</si>
  <si>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</si>
  <si>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</si>
  <si>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</si>
  <si>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</si>
  <si>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</si>
  <si>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</si>
  <si>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</si>
  <si>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</si>
  <si>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</si>
  <si>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</si>
  <si>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</si>
  <si>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</si>
  <si>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</si>
  <si>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</si>
  <si>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</si>
  <si>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</si>
  <si>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</si>
  <si>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</si>
  <si>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</si>
  <si>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</si>
  <si>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</si>
  <si>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</si>
  <si>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</si>
  <si>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</si>
  <si>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</si>
  <si>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</si>
  <si>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</si>
  <si>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</si>
  <si>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</si>
  <si>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</si>
  <si>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</si>
  <si>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</si>
  <si>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</si>
  <si>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</si>
  <si>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</si>
  <si>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</si>
  <si>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</si>
  <si>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</si>
  <si>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</si>
  <si>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</si>
  <si>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</si>
  <si>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</si>
  <si>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</si>
  <si>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</si>
  <si>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</si>
  <si>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</si>
  <si>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</si>
  <si>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</si>
  <si>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</si>
  <si>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</si>
  <si>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</si>
  <si>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</si>
  <si>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</si>
  <si>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</si>
  <si>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</si>
  <si>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</si>
  <si>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</si>
  <si>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</si>
  <si>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</si>
  <si>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</si>
  <si>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</si>
  <si>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</si>
  <si>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</si>
  <si>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</si>
  <si>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</si>
  <si>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</si>
  <si>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</si>
  <si>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</si>
  <si>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</si>
  <si>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</si>
  <si>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</si>
  <si>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</si>
  <si>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</si>
  <si>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</si>
  <si>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</si>
  <si>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</si>
  <si>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</si>
  <si>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</si>
  <si>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</si>
  <si>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</si>
  <si>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</si>
  <si>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</si>
  <si>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</si>
  <si>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</si>
  <si>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</si>
  <si>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</si>
  <si>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</si>
  <si>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</si>
  <si>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</si>
  <si>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</si>
  <si>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</si>
  <si>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</si>
  <si>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</si>
  <si>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</si>
  <si>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</si>
  <si>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</si>
  <si>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</si>
  <si>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</si>
  <si>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</si>
  <si>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</si>
  <si>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</si>
  <si>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</si>
  <si>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</si>
  <si>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</si>
  <si>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</si>
  <si>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</si>
  <si>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</si>
  <si>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</si>
  <si>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</si>
  <si>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</si>
  <si>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</si>
  <si>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</si>
  <si>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</si>
  <si>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</si>
  <si>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</si>
  <si>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</si>
  <si>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</si>
  <si>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</si>
  <si>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</si>
  <si>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</si>
  <si>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</si>
  <si>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</si>
  <si>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</si>
  <si>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</si>
  <si>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</si>
  <si>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</si>
  <si>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</si>
  <si>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</si>
  <si>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</si>
  <si>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</si>
  <si>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</si>
  <si>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</si>
  <si>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</si>
  <si>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</si>
  <si>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</si>
  <si>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</si>
  <si>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</si>
  <si>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</si>
  <si>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</si>
  <si>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</si>
  <si>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</si>
  <si>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</si>
  <si>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</si>
  <si>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</si>
  <si>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</si>
  <si>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</si>
  <si>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</si>
  <si>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</si>
  <si>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</si>
  <si>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</si>
  <si>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</si>
  <si>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</si>
  <si>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</si>
  <si>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</si>
  <si>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</si>
  <si>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</si>
  <si>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</si>
  <si>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</si>
  <si>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</si>
  <si>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</si>
  <si>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</si>
  <si>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</si>
  <si>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</si>
  <si>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</si>
  <si>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</si>
  <si>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</si>
  <si>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</si>
  <si>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</si>
  <si>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</si>
  <si>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</si>
  <si>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</si>
  <si>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</si>
  <si>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</si>
  <si>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</si>
  <si>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</si>
  <si>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</si>
  <si>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</si>
  <si>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</si>
  <si>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</si>
  <si>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</si>
  <si>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</si>
  <si>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</si>
  <si>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</si>
  <si>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</si>
  <si>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</si>
  <si>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</si>
  <si>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</si>
  <si>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</si>
  <si>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</si>
  <si>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</si>
  <si>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</si>
  <si>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</si>
  <si>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</si>
  <si>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</si>
  <si>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</si>
  <si>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</si>
  <si>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</si>
  <si>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</si>
  <si>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</si>
  <si>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</si>
  <si>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</si>
  <si>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</si>
  <si>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</si>
  <si>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</si>
  <si>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</si>
  <si>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</si>
  <si>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</si>
  <si>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</si>
  <si>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</si>
  <si>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</si>
  <si>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</si>
  <si>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</si>
  <si>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</si>
  <si>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</si>
  <si>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</si>
  <si>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</si>
  <si>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</si>
  <si>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</si>
  <si>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</si>
  <si>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</si>
  <si>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</si>
  <si>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</si>
  <si>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</si>
  <si>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</si>
  <si>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</si>
  <si>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</si>
  <si>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</si>
  <si>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</si>
  <si>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</si>
  <si>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</si>
  <si>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</si>
  <si>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</si>
  <si>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</si>
  <si>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</si>
  <si>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</si>
  <si>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</si>
  <si>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</si>
  <si>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</si>
  <si>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</si>
  <si>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</si>
  <si>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</si>
  <si>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</si>
  <si>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</si>
  <si>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</si>
  <si>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</si>
  <si>
    <t>merchant_name</t>
  </si>
  <si>
    <t>category</t>
  </si>
  <si>
    <t>region</t>
  </si>
  <si>
    <t>Merchant_001</t>
  </si>
  <si>
    <t>ecommerce</t>
  </si>
  <si>
    <t>South</t>
  </si>
  <si>
    <t>Merchant_002</t>
  </si>
  <si>
    <t>grocery</t>
  </si>
  <si>
    <t>West</t>
  </si>
  <si>
    <t>Merchant_003</t>
  </si>
  <si>
    <t>East</t>
  </si>
  <si>
    <t>Merchant_004</t>
  </si>
  <si>
    <t>Merchant_005</t>
  </si>
  <si>
    <t>recharge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</si>
  <si>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</si>
  <si>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</si>
  <si>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</si>
  <si>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</si>
  <si>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</si>
  <si>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</si>
  <si>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</si>
  <si>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</si>
  <si>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</si>
  <si>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</si>
  <si>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</si>
  <si>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</si>
  <si>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</si>
  <si>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</si>
  <si>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</si>
  <si>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Merchant_017</t>
  </si>
  <si>
    <t>Merchant_018</t>
  </si>
  <si>
    <t>Merchant_019</t>
  </si>
  <si>
    <t>Merchant_020</t>
  </si>
  <si>
    <t>Merchant_021</t>
  </si>
  <si>
    <t>Merchant_022</t>
  </si>
  <si>
    <t>Merchant_023</t>
  </si>
  <si>
    <t>Merchant_024</t>
  </si>
  <si>
    <t>Merchant_025</t>
  </si>
  <si>
    <t>Merchant_026</t>
  </si>
  <si>
    <t>Merchant_027</t>
  </si>
  <si>
    <t>Merchant_028</t>
  </si>
  <si>
    <t>Merchant_029</t>
  </si>
  <si>
    <t>Merchant_030</t>
  </si>
  <si>
    <t>Merchant_031</t>
  </si>
  <si>
    <t>Merchant_032</t>
  </si>
  <si>
    <t>Merchant_033</t>
  </si>
  <si>
    <t>Merchant_034</t>
  </si>
  <si>
    <t>Merchant_035</t>
  </si>
  <si>
    <t>Merchant_036</t>
  </si>
  <si>
    <t>entertainment</t>
  </si>
  <si>
    <t>Merchant_037</t>
  </si>
  <si>
    <t>Merchant_038</t>
  </si>
  <si>
    <t>Merchant_039</t>
  </si>
  <si>
    <t>Merchant_040</t>
  </si>
  <si>
    <t>Payment Method</t>
  </si>
  <si>
    <t xml:space="preserve"> MDR Fee %</t>
  </si>
  <si>
    <t>MDR Fee %</t>
  </si>
  <si>
    <t>Date</t>
  </si>
  <si>
    <t>Daily Total 
(Using Sum IFs)</t>
  </si>
  <si>
    <t>Daily Total 
(Using Pivot Table)</t>
  </si>
  <si>
    <t>High Value Flag</t>
  </si>
  <si>
    <t xml:space="preserve">Flagging - High Merchant Value </t>
  </si>
  <si>
    <t>Pivot Table - Summary</t>
  </si>
  <si>
    <t>Sum of amount_inr</t>
  </si>
  <si>
    <t>Values</t>
  </si>
  <si>
    <t>Total Distinct Count of Date</t>
  </si>
  <si>
    <t>Total Count of transaction_id</t>
  </si>
  <si>
    <t>Total Sum of amount_inr</t>
  </si>
  <si>
    <t>Distinct Count of Date</t>
  </si>
  <si>
    <t>Count of transaction_id</t>
  </si>
  <si>
    <t>01/01/2026 Total</t>
  </si>
  <si>
    <t>02/01/2026 Total</t>
  </si>
  <si>
    <t>Grand Total</t>
  </si>
  <si>
    <t>03/01/2026 Total</t>
  </si>
  <si>
    <t>04/01/2026 Total</t>
  </si>
  <si>
    <t>05/01/2026 Total</t>
  </si>
  <si>
    <t>06/01/2026 Total</t>
  </si>
  <si>
    <t>07/01/2026 Total</t>
  </si>
  <si>
    <t>08/01/2026 Total</t>
  </si>
  <si>
    <t>09/01/2026 Total</t>
  </si>
  <si>
    <t>10/01/2026 Total</t>
  </si>
  <si>
    <t>11/01/2026 Total</t>
  </si>
  <si>
    <t>12/01/2026 Total</t>
  </si>
  <si>
    <t>13/01/2026 Total</t>
  </si>
  <si>
    <t>14/01/2026 Total</t>
  </si>
  <si>
    <t>15/01/2026 Total</t>
  </si>
  <si>
    <t>16/01/2026 Total</t>
  </si>
  <si>
    <t>17/01/2026 Total</t>
  </si>
  <si>
    <t>18/01/2026 Total</t>
  </si>
  <si>
    <t>19/01/2026 Total</t>
  </si>
  <si>
    <t>20/01/2026 Total</t>
  </si>
  <si>
    <t>21/01/2026 Total</t>
  </si>
  <si>
    <t>22/01/2026 Total</t>
  </si>
  <si>
    <t>23/01/2026 Total</t>
  </si>
  <si>
    <t>24/01/2026 Total</t>
  </si>
  <si>
    <t>25/01/2026 Total</t>
  </si>
  <si>
    <t>26/01/2026 Total</t>
  </si>
  <si>
    <t>27/01/2026 Total</t>
  </si>
  <si>
    <t>28/01/2026 Total</t>
  </si>
  <si>
    <t>29/01/2026 Total</t>
  </si>
  <si>
    <t>30/01/2026 Total</t>
  </si>
  <si>
    <t>Median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</si>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</sst>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/yyyy;@"/>
    <numFmt numFmtId="177" formatCode="0.00_ "/>
  </numFmts>
  <fonts count="26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1F1F1F"/>
      <name val="Calibri"/>
      <charset val="134"/>
      <scheme val="minor"/>
    </font>
    <font>
      <sz val="11"/>
      <color rgb="FF1F1F1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C4C7C5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5" xfId="0" applyFont="1" applyBorder="1">
      <alignment vertical="center"/>
    </xf>
    <xf numFmtId="0" fontId="0" fillId="0" borderId="6" xfId="0" applyBorder="1">
      <alignment vertical="center"/>
    </xf>
    <xf numFmtId="0" fontId="2" fillId="0" borderId="0" xfId="0" applyFont="1">
      <alignment vertical="center"/>
    </xf>
    <xf numFmtId="176" fontId="0" fillId="0" borderId="6" xfId="0" applyNumberFormat="1" applyBorder="1">
      <alignment vertical="center"/>
    </xf>
    <xf numFmtId="177" fontId="0" fillId="0" borderId="6" xfId="0" applyNumberFormat="1" applyBorder="1">
      <alignment vertical="center"/>
    </xf>
    <xf numFmtId="0" fontId="2" fillId="0" borderId="0" xfId="0" applyFont="1" applyAlignment="1">
      <alignment horizontal="center" vertical="center"/>
    </xf>
    <xf numFmtId="0" fontId="3" fillId="3" borderId="7" xfId="0" applyFont="1" applyFill="1" applyBorder="1">
      <alignment vertical="center"/>
    </xf>
    <xf numFmtId="0" fontId="3" fillId="3" borderId="7" xfId="0" applyFont="1" applyFill="1" applyBorder="1">
      <alignment vertical="center"/>
    </xf>
    <xf numFmtId="177" fontId="3" fillId="3" borderId="7" xfId="0" applyNumberFormat="1" applyFont="1" applyFill="1" applyBorder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22" fontId="0" fillId="0" borderId="7" xfId="0" applyNumberFormat="1" applyBorder="1" applyAlignment="1">
      <alignment horizontal="center" vertical="center"/>
    </xf>
    <xf numFmtId="10" fontId="0" fillId="0" borderId="7" xfId="3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5" fillId="0" borderId="8" xfId="0" applyFont="1" applyBorder="1" applyAlignment="1">
      <alignment vertical="center" wrapText="1" readingOrder="1"/>
    </xf>
    <xf numFmtId="0" fontId="6" fillId="0" borderId="8" xfId="0" applyFont="1" applyBorder="1" applyAlignment="1">
      <alignment vertical="center" wrapText="1" readingOrder="1"/>
    </xf>
    <xf numFmtId="0" fontId="5" fillId="0" borderId="7" xfId="0" applyFont="1" applyBorder="1" applyAlignment="1">
      <alignment vertical="center" wrapText="1" readingOrder="1"/>
    </xf>
    <xf numFmtId="10" fontId="6" fillId="0" borderId="7" xfId="0" applyNumberFormat="1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2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font>
        <color theme="0"/>
      </font>
    </dxf>
    <dxf>
      <font>
        <color theme="0"/>
      </font>
    </dxf>
    <dxf>
      <font>
        <color theme="1"/>
      </font>
    </dxf>
    <dxf>
      <font>
        <color theme="1"/>
      </font>
    </dxf>
    <dxf>
      <numFmt numFmtId="178" formatCode="0.00000000_ "/>
    </dxf>
    <dxf>
      <numFmt numFmtId="179" formatCode="0.0000000_ "/>
    </dxf>
    <dxf>
      <numFmt numFmtId="180" formatCode="0.000000_ "/>
    </dxf>
    <dxf>
      <numFmt numFmtId="181" formatCode="0.00000_ "/>
    </dxf>
    <dxf>
      <numFmt numFmtId="182" formatCode="0.0000_ "/>
    </dxf>
    <dxf>
      <numFmt numFmtId="183" formatCode="0.000_ "/>
    </dxf>
    <dxf>
      <numFmt numFmtId="177" formatCode="0.00_ "/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righ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/>
      </border>
    </dxf>
    <dxf>
      <border>
        <bottom/>
      </border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1"/>
      <tableStyleElement type="headerRow" dxfId="260"/>
      <tableStyleElement type="totalRow" dxfId="259"/>
      <tableStyleElement type="firstColumn" dxfId="258"/>
      <tableStyleElement type="lastColumn" dxfId="257"/>
      <tableStyleElement type="firstRowStripe" dxfId="256"/>
      <tableStyleElement type="firstColumnStripe" dxfId="255"/>
    </tableStyle>
    <tableStyle name="PivotStylePreset2_Accent1" table="0" count="10" xr9:uid="{267968C8-6FFD-4C36-ACC1-9EA1FD1885CA}">
      <tableStyleElement type="headerRow" dxfId="271"/>
      <tableStyleElement type="totalRow" dxfId="270"/>
      <tableStyleElement type="firstRowStripe" dxfId="269"/>
      <tableStyleElement type="firstColumnStripe" dxfId="268"/>
      <tableStyleElement type="firstSubtotalRow" dxfId="267"/>
      <tableStyleElement type="secondSubtotalRow" dxfId="266"/>
      <tableStyleElement type="firstRowSubheading" dxfId="265"/>
      <tableStyleElement type="secondRowSubheading" dxfId="264"/>
      <tableStyleElement type="pageFieldLabels" dxfId="263"/>
      <tableStyleElement type="pageFieldValues" dxfId="26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8.7152777778" refreshedBy="miralraysoni" recordCount="547">
  <cacheSource type="worksheet">
    <worksheetSource ref="A1:M548" sheet="Transactions-view sheet"/>
  </cacheSource>
  <cacheFields count="13">
    <cacheField name="transaction_id" numFmtId="0">
      <sharedItems count="547"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</sharedItems>
    </cacheField>
    <cacheField name="user_id" numFmtId="0">
      <sharedItems containsSemiMixedTypes="0" containsString="0" containsNumber="1" containsInteger="1" minValue="1" maxValue="365" count="283">
        <n v="350"/>
        <n v="287"/>
        <n v="122"/>
        <n v="92"/>
        <n v="343"/>
        <n v="196"/>
        <n v="236"/>
        <n v="13"/>
        <n v="36"/>
        <n v="348"/>
        <n v="134"/>
        <n v="306"/>
        <n v="311"/>
        <n v="131"/>
        <n v="276"/>
        <n v="170"/>
        <n v="154"/>
        <n v="207"/>
        <n v="341"/>
        <n v="292"/>
        <n v="147"/>
        <n v="336"/>
        <n v="110"/>
        <n v="338"/>
        <n v="318"/>
        <n v="159"/>
        <n v="126"/>
        <n v="213"/>
        <n v="254"/>
        <n v="3"/>
        <n v="266"/>
        <n v="63"/>
        <n v="272"/>
        <n v="259"/>
        <n v="244"/>
        <n v="327"/>
        <n v="321"/>
        <n v="277"/>
        <n v="79"/>
        <n v="278"/>
        <n v="216"/>
        <n v="295"/>
        <n v="200"/>
        <n v="309"/>
        <n v="249"/>
        <n v="208"/>
        <n v="274"/>
        <n v="14"/>
        <n v="237"/>
        <n v="109"/>
        <n v="334"/>
        <n v="11"/>
        <n v="132"/>
        <n v="59"/>
        <n v="160"/>
        <n v="102"/>
        <n v="53"/>
        <n v="290"/>
        <n v="190"/>
        <n v="248"/>
        <n v="138"/>
        <n v="231"/>
        <n v="167"/>
        <n v="133"/>
        <n v="142"/>
        <n v="124"/>
        <n v="151"/>
        <n v="340"/>
        <n v="177"/>
        <n v="233"/>
        <n v="99"/>
        <n v="95"/>
        <n v="302"/>
        <n v="100"/>
        <n v="8"/>
        <n v="284"/>
        <n v="252"/>
        <n v="246"/>
        <n v="245"/>
        <n v="296"/>
        <n v="44"/>
        <n v="157"/>
        <n v="51"/>
        <n v="42"/>
        <n v="81"/>
        <n v="241"/>
        <n v="145"/>
        <n v="136"/>
        <n v="137"/>
        <n v="158"/>
        <n v="148"/>
        <n v="166"/>
        <n v="346"/>
        <n v="326"/>
        <n v="171"/>
        <n v="211"/>
        <n v="282"/>
        <n v="1"/>
        <n v="227"/>
        <n v="323"/>
        <n v="283"/>
        <n v="150"/>
        <n v="197"/>
        <n v="70"/>
        <n v="260"/>
        <n v="301"/>
        <n v="279"/>
        <n v="97"/>
        <n v="52"/>
        <n v="74"/>
        <n v="163"/>
        <n v="121"/>
        <n v="15"/>
        <n v="184"/>
        <n v="90"/>
        <n v="119"/>
        <n v="342"/>
        <n v="280"/>
        <n v="155"/>
        <n v="152"/>
        <n v="21"/>
        <n v="187"/>
        <n v="188"/>
        <n v="85"/>
        <n v="174"/>
        <n v="116"/>
        <n v="203"/>
        <n v="189"/>
        <n v="56"/>
        <n v="288"/>
        <n v="60"/>
        <n v="199"/>
        <n v="17"/>
        <n v="186"/>
        <n v="331"/>
        <n v="328"/>
        <n v="65"/>
        <n v="230"/>
        <n v="258"/>
        <n v="32"/>
        <n v="312"/>
        <n v="325"/>
        <n v="221"/>
        <n v="161"/>
        <n v="222"/>
        <n v="67"/>
        <n v="169"/>
        <n v="217"/>
        <n v="54"/>
        <n v="247"/>
        <n v="337"/>
        <n v="16"/>
        <n v="215"/>
        <n v="140"/>
        <n v="250"/>
        <n v="62"/>
        <n v="224"/>
        <n v="262"/>
        <n v="179"/>
        <n v="76"/>
        <n v="89"/>
        <n v="91"/>
        <n v="297"/>
        <n v="78"/>
        <n v="156"/>
        <n v="38"/>
        <n v="305"/>
        <n v="22"/>
        <n v="310"/>
        <n v="269"/>
        <n v="307"/>
        <n v="130"/>
        <n v="66"/>
        <n v="261"/>
        <n v="71"/>
        <n v="317"/>
        <n v="93"/>
        <n v="313"/>
        <n v="103"/>
        <n v="329"/>
        <n v="265"/>
        <n v="114"/>
        <n v="28"/>
        <n v="242"/>
        <n v="316"/>
        <n v="77"/>
        <n v="57"/>
        <n v="123"/>
        <n v="33"/>
        <n v="324"/>
        <n v="293"/>
        <n v="183"/>
        <n v="322"/>
        <n v="330"/>
        <n v="235"/>
        <n v="204"/>
        <n v="332"/>
        <n v="205"/>
        <n v="255"/>
        <n v="218"/>
        <n v="86"/>
        <n v="181"/>
        <n v="30"/>
        <n v="263"/>
        <n v="225"/>
        <n v="228"/>
        <n v="229"/>
        <n v="164"/>
        <n v="149"/>
        <n v="185"/>
        <n v="94"/>
        <n v="64"/>
        <n v="41"/>
        <n v="289"/>
        <n v="153"/>
        <n v="226"/>
        <n v="82"/>
        <n v="26"/>
        <n v="69"/>
        <n v="24"/>
        <n v="20"/>
        <n v="234"/>
        <n v="168"/>
        <n v="251"/>
        <n v="195"/>
        <n v="314"/>
        <n v="273"/>
        <n v="349"/>
        <n v="143"/>
        <n v="335"/>
        <n v="46"/>
        <n v="19"/>
        <n v="55"/>
        <n v="173"/>
        <n v="206"/>
        <n v="128"/>
        <n v="6"/>
        <n v="281"/>
        <n v="106"/>
        <n v="29"/>
        <n v="112"/>
        <n v="194"/>
        <n v="115"/>
        <n v="345"/>
        <n v="118"/>
        <n v="315"/>
        <n v="25"/>
        <n v="120"/>
        <n v="165"/>
        <n v="267"/>
        <n v="286"/>
        <n v="214"/>
        <n v="105"/>
        <n v="239"/>
        <n v="39"/>
        <n v="4"/>
        <n v="182"/>
        <n v="88"/>
        <n v="291"/>
        <n v="144"/>
        <n v="162"/>
        <n v="178"/>
        <n v="139"/>
        <n v="125"/>
        <n v="87"/>
        <n v="75"/>
        <n v="127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73"/>
      </sharedItems>
    </cacheField>
    <cacheField name="merchant_id" numFmtId="0">
      <sharedItems containsSemiMixedTypes="0" containsString="0" containsNumber="1" containsInteger="1" minValue="1" maxValue="40" count="40">
        <n v="16"/>
        <n v="27"/>
        <n v="11"/>
        <n v="22"/>
        <n v="3"/>
        <n v="23"/>
        <n v="13"/>
        <n v="18"/>
        <n v="35"/>
        <n v="12"/>
        <n v="28"/>
        <n v="3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24"/>
        <n v="5"/>
        <n v="32"/>
        <n v="10"/>
        <n v="38"/>
        <n v="34"/>
        <n v="1"/>
        <n v="39"/>
        <n v="9"/>
      </sharedItems>
    </cacheField>
    <cacheField name="transaction_time" numFmtId="22">
      <sharedItems containsSemiMixedTypes="0" containsString="0" containsNonDate="0" containsDate="1" minDate="2026-01-01T02:14:00" maxDate="2026-01-30T23:17:00" count="542">
        <d v="2026-01-29T11:13:00"/>
        <d v="2026-01-04T11:49:00"/>
        <d v="2026-01-24T04:59:00"/>
        <d v="2026-01-29T13:01:00"/>
        <d v="2026-01-30T13:51:00"/>
        <d v="2026-01-06T22:06:00"/>
        <d v="2026-01-08T06:52:00"/>
        <d v="2026-01-27T07:14:00"/>
        <d v="2026-01-11T08:55:00"/>
        <d v="2026-01-21T16:25:00"/>
        <d v="2026-01-01T03:56:00"/>
        <d v="2026-01-09T01:06:00"/>
        <d v="2026-01-24T10:27:00"/>
        <d v="2026-01-13T18:12:00"/>
        <d v="2026-01-14T00:33:00"/>
        <d v="2026-01-14T02:42:00"/>
        <d v="2026-01-22T03:46:00"/>
        <d v="2026-01-22T13:20:00"/>
        <d v="2026-01-05T06:26:00"/>
        <d v="2026-01-24T05:39:00"/>
        <d v="2026-01-18T00:19:00"/>
        <d v="2026-01-26T18:38:00"/>
        <d v="2026-01-15T14:43:00"/>
        <d v="2026-01-26T23:10:00"/>
        <d v="2026-01-17T21:40:00"/>
        <d v="2026-01-27T07:43:00"/>
        <d v="2026-01-05T00:02:00"/>
        <d v="2026-01-28T02:29:00"/>
        <d v="2026-01-23T22:24:00"/>
        <d v="2026-01-05T20:44:00"/>
        <d v="2026-01-14T07:11:00"/>
        <d v="2026-01-18T07:58:00"/>
        <d v="2026-01-26T14:42:00"/>
        <d v="2026-01-11T14:39:00"/>
        <d v="2026-01-15T05:47:00"/>
        <d v="2026-01-25T07:53:00"/>
        <d v="2026-01-25T16:31:00"/>
        <d v="2026-01-15T02:45:00"/>
        <d v="2026-01-11T10:57:00"/>
        <d v="2026-01-05T07:24:00"/>
        <d v="2026-01-14T13:21:00"/>
        <d v="2026-01-02T06:53:00"/>
        <d v="2026-01-19T22:01:00"/>
        <d v="2026-01-01T11:19:00"/>
        <d v="2026-01-24T23:34:00"/>
        <d v="2026-01-08T08:27:00"/>
        <d v="2026-01-11T21:43:00"/>
        <d v="2026-01-30T04:39:00"/>
        <d v="2026-01-19T18:42:00"/>
        <d v="2026-01-14T04:55:00"/>
        <d v="2026-01-09T12:20:00"/>
        <d v="2026-01-11T12:17:00"/>
        <d v="2026-01-16T00:47:00"/>
        <d v="2026-01-08T20:04:00"/>
        <d v="2026-01-01T07:12:00"/>
        <d v="2026-01-08T04:30:00"/>
        <d v="2026-01-07T14:44:00"/>
        <d v="2026-01-20T19:47:00"/>
        <d v="2026-01-04T18:01:00"/>
        <d v="2026-01-30T12:25:00"/>
        <d v="2026-01-23T20:15:00"/>
        <d v="2026-01-20T03:50:00"/>
        <d v="2026-01-18T13:42:00"/>
        <d v="2026-01-21T10:00:00"/>
        <d v="2026-01-14T11:40:00"/>
        <d v="2026-01-06T23:33:00"/>
        <d v="2026-01-26T17:49:00"/>
        <d v="2026-01-27T23:37:00"/>
        <d v="2026-01-27T02:17:00"/>
        <d v="2026-01-15T18:39:00"/>
        <d v="2026-01-01T15:54:00"/>
        <d v="2026-01-07T11:51:00"/>
        <d v="2026-01-29T19:44:00"/>
        <d v="2026-01-17T06:05:00"/>
        <d v="2026-01-18T07:44:00"/>
        <d v="2026-01-26T00:05:00"/>
        <d v="2026-01-23T07:19:00"/>
        <d v="2026-01-16T17:33:00"/>
        <d v="2026-01-18T10:22:00"/>
        <d v="2026-01-09T07:07:00"/>
        <d v="2026-01-24T17:48:00"/>
        <d v="2026-01-24T15:17:00"/>
        <d v="2026-01-10T03:53:00"/>
        <d v="2026-01-12T05:19:00"/>
        <d v="2026-01-09T01:03:00"/>
        <d v="2026-01-05T20:55:00"/>
        <d v="2026-01-19T09:30:00"/>
        <d v="2026-01-06T01:16:00"/>
        <d v="2026-01-13T15:04:00"/>
        <d v="2026-01-05T18:19:00"/>
        <d v="2026-01-18T13:38:00"/>
        <d v="2026-01-25T16:24:00"/>
        <d v="2026-01-28T18:27:00"/>
        <d v="2026-01-02T19:47:00"/>
        <d v="2026-01-07T08:42:00"/>
        <d v="2026-01-06T17:04:00"/>
        <d v="2026-01-15T22:38:00"/>
        <d v="2026-01-08T09:45:00"/>
        <d v="2026-01-22T07:59:00"/>
        <d v="2026-01-26T06:27:00"/>
        <d v="2026-01-21T04:58:00"/>
        <d v="2026-01-02T05:50:00"/>
        <d v="2026-01-27T18:58:00"/>
        <d v="2026-01-15T22:19:00"/>
        <d v="2026-01-18T15:28:00"/>
        <d v="2026-01-29T13:47:00"/>
        <d v="2026-01-01T02:14:00"/>
        <d v="2026-01-01T21:52:00"/>
        <d v="2026-01-25T05:30:00"/>
        <d v="2026-01-06T18:27:00"/>
        <d v="2026-01-16T11:26:00"/>
        <d v="2026-01-04T05:21:00"/>
        <d v="2026-01-22T12:52:00"/>
        <d v="2026-01-03T10:16:00"/>
        <d v="2026-01-13T16:52:00"/>
        <d v="2026-01-14T01:12:00"/>
        <d v="2026-01-25T15:40:00"/>
        <d v="2026-01-09T17:08:00"/>
        <d v="2026-01-16T03:01:00"/>
        <d v="2026-01-23T05:19:00"/>
        <d v="2026-01-14T02:14:00"/>
        <d v="2026-01-21T04:31:00"/>
        <d v="2026-01-09T13:53:00"/>
        <d v="2026-01-15T17:09:00"/>
        <d v="2026-01-17T23:56:00"/>
        <d v="2026-01-25T13:21:00"/>
        <d v="2026-01-10T23:19:00"/>
        <d v="2026-01-16T04:28:00"/>
        <d v="2026-01-11T17:48:00"/>
        <d v="2026-01-30T10:55:00"/>
        <d v="2026-01-13T07:54:00"/>
        <d v="2026-01-24T15:45:00"/>
        <d v="2026-01-26T20:09:00"/>
        <d v="2026-01-17T18:21:00"/>
        <d v="2026-01-17T14:00:00"/>
        <d v="2026-01-05T02:30:00"/>
        <d v="2026-01-23T12:41:00"/>
        <d v="2026-01-28T17:24:00"/>
        <d v="2026-01-02T19:04:00"/>
        <d v="2026-01-24T02:27:00"/>
        <d v="2026-01-06T22:19:00"/>
        <d v="2026-01-26T01:18:00"/>
        <d v="2026-01-05T07:33:00"/>
        <d v="2026-01-26T05:10:00"/>
        <d v="2026-01-28T12:39:00"/>
        <d v="2026-01-30T18:09:00"/>
        <d v="2026-01-09T14:16:00"/>
        <d v="2026-01-29T09:43:00"/>
        <d v="2026-01-15T11:37:00"/>
        <d v="2026-01-09T14:54:00"/>
        <d v="2026-01-28T15:06:00"/>
        <d v="2026-01-12T18:18:00"/>
        <d v="2026-01-13T08:00:00"/>
        <d v="2026-01-24T15:53:00"/>
        <d v="2026-01-26T11:14:00"/>
        <d v="2026-01-09T21:48:00"/>
        <d v="2026-01-04T20:41:00"/>
        <d v="2026-01-15T01:37:00"/>
        <d v="2026-01-30T09:20:00"/>
        <d v="2026-01-05T17:56:00"/>
        <d v="2026-01-30T08:53:00"/>
        <d v="2026-01-26T09:47:00"/>
        <d v="2026-01-03T04:48:00"/>
        <d v="2026-01-12T02:50:00"/>
        <d v="2026-01-18T03:29:00"/>
        <d v="2026-01-13T20:23:00"/>
        <d v="2026-01-01T19:56:00"/>
        <d v="2026-01-10T20:26:00"/>
        <d v="2026-01-02T09:31:00"/>
        <d v="2026-01-29T17:08:00"/>
        <d v="2026-01-22T23:44:00"/>
        <d v="2026-01-24T23:09:00"/>
        <d v="2026-01-20T13:17:00"/>
        <d v="2026-01-15T14:15:00"/>
        <d v="2026-01-12T17:57:00"/>
        <d v="2026-01-13T08:12:00"/>
        <d v="2026-01-22T06:41:00"/>
        <d v="2026-01-02T10:15:00"/>
        <d v="2026-01-03T17:13:00"/>
        <d v="2026-01-11T04:50:00"/>
        <d v="2026-01-28T04:08:00"/>
        <d v="2026-01-04T21:55:00"/>
        <d v="2026-01-12T07:37:00"/>
        <d v="2026-01-09T01:08:00"/>
        <d v="2026-01-24T02:30:00"/>
        <d v="2026-01-19T03:28:00"/>
        <d v="2026-01-02T23:50:00"/>
        <d v="2026-01-15T20:01:00"/>
        <d v="2026-01-14T21:06:00"/>
        <d v="2026-01-29T02:20:00"/>
        <d v="2026-01-05T08:39:00"/>
        <d v="2026-01-23T10:24:00"/>
        <d v="2026-01-15T16:38:00"/>
        <d v="2026-01-15T07:26:00"/>
        <d v="2026-01-14T23:06:00"/>
        <d v="2026-01-22T08:23:00"/>
        <d v="2026-01-03T02:05:00"/>
        <d v="2026-01-24T11:51:00"/>
        <d v="2026-01-19T17:35:00"/>
        <d v="2026-01-12T21:48:00"/>
        <d v="2026-01-20T09:22:00"/>
        <d v="2026-01-07T04:42:00"/>
        <d v="2026-01-12T17:23:00"/>
        <d v="2026-01-08T13:54:00"/>
        <d v="2026-01-22T20:35:00"/>
        <d v="2026-01-27T22:17:00"/>
        <d v="2026-01-23T09:58:00"/>
        <d v="2026-01-06T04:36:00"/>
        <d v="2026-01-05T23:40:00"/>
        <d v="2026-01-17T06:24:00"/>
        <d v="2026-01-06T11:19:00"/>
        <d v="2026-01-03T01:09:00"/>
        <d v="2026-01-22T02:17:00"/>
        <d v="2026-01-20T14:26:00"/>
        <d v="2026-01-17T03:22:00"/>
        <d v="2026-01-22T21:37:00"/>
        <d v="2026-01-10T01:14:00"/>
        <d v="2026-01-01T06:19:00"/>
        <d v="2026-01-09T09:20:00"/>
        <d v="2026-01-24T13:11:00"/>
        <d v="2026-01-23T07:32:00"/>
        <d v="2026-01-13T23:02:00"/>
        <d v="2026-01-30T02:55:00"/>
        <d v="2026-01-19T12:45:00"/>
        <d v="2026-01-04T12:01:00"/>
        <d v="2026-01-15T22:58:00"/>
        <d v="2026-01-28T03:15:00"/>
        <d v="2026-01-17T02:25:00"/>
        <d v="2026-01-11T05:04:00"/>
        <d v="2026-01-17T06:57:00"/>
        <d v="2026-01-27T20:52:00"/>
        <d v="2026-01-05T08:12:00"/>
        <d v="2026-01-25T20:04:00"/>
        <d v="2026-01-25T18:48:00"/>
        <d v="2026-01-30T18:41:00"/>
        <d v="2026-01-28T20:20:00"/>
        <d v="2026-01-16T14:40:00"/>
        <d v="2026-01-02T11:32:00"/>
        <d v="2026-01-15T01:03:00"/>
        <d v="2026-01-21T02:39:00"/>
        <d v="2026-01-15T18:35:00"/>
        <d v="2026-01-21T06:20:00"/>
        <d v="2026-01-05T01:28:00"/>
        <d v="2026-01-03T16:41:00"/>
        <d v="2026-01-23T14:28:00"/>
        <d v="2026-01-06T11:23:00"/>
        <d v="2026-01-25T10:43:00"/>
        <d v="2026-01-21T10:04:00"/>
        <d v="2026-01-22T12:18:00"/>
        <d v="2026-01-11T02:37:00"/>
        <d v="2026-01-10T20:44:00"/>
        <d v="2026-01-20T22:05:00"/>
        <d v="2026-01-21T10:52:00"/>
        <d v="2026-01-21T21:27:00"/>
        <d v="2026-01-12T09:11:00"/>
        <d v="2026-01-16T06:14:00"/>
        <d v="2026-01-10T03:32:00"/>
        <d v="2026-01-22T10:56:00"/>
        <d v="2026-01-13T04:10:00"/>
        <d v="2026-01-24T14:02:00"/>
        <d v="2026-01-24T07:28:00"/>
        <d v="2026-01-24T14:14:00"/>
        <d v="2026-01-26T15:57:00"/>
        <d v="2026-01-19T14:29:00"/>
        <d v="2026-01-17T13:10:00"/>
        <d v="2026-01-28T08:03:00"/>
        <d v="2026-01-18T03:45:00"/>
        <d v="2026-01-03T05:17:00"/>
        <d v="2026-01-27T13:05:00"/>
        <d v="2026-01-30T00:26:00"/>
        <d v="2026-01-12T07:24:00"/>
        <d v="2026-01-01T10:59:00"/>
        <d v="2026-01-05T01:18:00"/>
        <d v="2026-01-23T15:28:00"/>
        <d v="2026-01-01T08:13:00"/>
        <d v="2026-01-20T16:27:00"/>
        <d v="2026-01-10T03:03:00"/>
        <d v="2026-01-26T19:29:00"/>
        <d v="2026-01-20T17:01:00"/>
        <d v="2026-01-08T22:09:00"/>
        <d v="2026-01-20T11:15:00"/>
        <d v="2026-01-22T21:05:00"/>
        <d v="2026-01-17T17:32:00"/>
        <d v="2026-01-13T15:02:00"/>
        <d v="2026-01-09T23:01:00"/>
        <d v="2026-01-08T23:42:00"/>
        <d v="2026-01-19T23:48:00"/>
        <d v="2026-01-12T17:21:00"/>
        <d v="2026-01-22T14:44:00"/>
        <d v="2026-01-03T22:49:00"/>
        <d v="2026-01-07T01:50:00"/>
        <d v="2026-01-30T09:32:00"/>
        <d v="2026-01-09T01:48:00"/>
        <d v="2026-01-12T01:55:00"/>
        <d v="2026-01-04T11:27:00"/>
        <d v="2026-01-11T05:31:00"/>
        <d v="2026-01-09T02:46:00"/>
        <d v="2026-01-20T05:34:00"/>
        <d v="2026-01-03T10:42:00"/>
        <d v="2026-01-20T22:27:00"/>
        <d v="2026-01-15T01:46:00"/>
        <d v="2026-01-09T20:50:00"/>
        <d v="2026-01-21T12:23:00"/>
        <d v="2026-01-05T19:43:00"/>
        <d v="2026-01-03T07:49:00"/>
        <d v="2026-01-13T18:02:00"/>
        <d v="2026-01-15T11:23:00"/>
        <d v="2026-01-05T16:23:00"/>
        <d v="2026-01-17T12:58:00"/>
        <d v="2026-01-25T08:45:00"/>
        <d v="2026-01-10T22:58:00"/>
        <d v="2026-01-05T02:28:00"/>
        <d v="2026-01-26T21:54:00"/>
        <d v="2026-01-03T17:34:00"/>
        <d v="2026-01-23T22:59:00"/>
        <d v="2026-01-17T07:07:00"/>
        <d v="2026-01-26T15:01:00"/>
        <d v="2026-01-12T14:51:00"/>
        <d v="2026-01-29T02:04:00"/>
        <d v="2026-01-24T15:33:00"/>
        <d v="2026-01-03T04:20:00"/>
        <d v="2026-01-15T21:33:00"/>
        <d v="2026-01-18T20:37:00"/>
        <d v="2026-01-17T01:53:00"/>
        <d v="2026-01-10T05:10:00"/>
        <d v="2026-01-17T09:54:00"/>
        <d v="2026-01-21T17:17:00"/>
        <d v="2026-01-18T02:32:00"/>
        <d v="2026-01-19T04:10:00"/>
        <d v="2026-01-29T19:21:00"/>
        <d v="2026-01-03T01:41:00"/>
        <d v="2026-01-07T18:26:00"/>
        <d v="2026-01-29T20:34:00"/>
        <d v="2026-01-08T21:25:00"/>
        <d v="2026-01-23T01:10:00"/>
        <d v="2026-01-15T06:21:00"/>
        <d v="2026-01-28T22:20:00"/>
        <d v="2026-01-25T11:32:00"/>
        <d v="2026-01-08T14:07:00"/>
        <d v="2026-01-05T03:03:00"/>
        <d v="2026-01-14T07:55:00"/>
        <d v="2026-01-24T10:12:00"/>
        <d v="2026-01-15T15:56:00"/>
        <d v="2026-01-03T12:32:00"/>
        <d v="2026-01-19T11:03:00"/>
        <d v="2026-01-20T20:43:00"/>
        <d v="2026-01-01T03:27:00"/>
        <d v="2026-01-12T12:23:00"/>
        <d v="2026-01-19T17:12:00"/>
        <d v="2026-01-27T19:43:00"/>
        <d v="2026-01-04T12:23:00"/>
        <d v="2026-01-25T04:12:00"/>
        <d v="2026-01-17T01:02:00"/>
        <d v="2026-01-11T15:33:00"/>
        <d v="2026-01-29T16:08:00"/>
        <d v="2026-01-06T12:39:00"/>
        <d v="2026-01-17T16:34:00"/>
        <d v="2026-01-16T00:23:00"/>
        <d v="2026-01-19T09:50:00"/>
        <d v="2026-01-16T08:41:00"/>
        <d v="2026-01-24T01:37:00"/>
        <d v="2026-01-21T23:39:00"/>
        <d v="2026-01-08T01:36:00"/>
        <d v="2026-01-15T10:26:00"/>
        <d v="2026-01-07T13:32:00"/>
        <d v="2026-01-24T01:45:00"/>
        <d v="2026-01-18T10:42:00"/>
        <d v="2026-01-11T05:29:00"/>
        <d v="2026-01-12T21:49:00"/>
        <d v="2026-01-16T06:15:00"/>
        <d v="2026-01-08T09:49:00"/>
        <d v="2026-01-23T15:20:00"/>
        <d v="2026-01-30T23:17:00"/>
        <d v="2026-01-22T17:24:00"/>
        <d v="2026-01-26T04:18:00"/>
        <d v="2026-01-03T11:59:00"/>
        <d v="2026-01-16T06:12:00"/>
        <d v="2026-01-23T08:08:00"/>
        <d v="2026-01-19T07:15:00"/>
        <d v="2026-01-21T07:03:00"/>
        <d v="2026-01-23T15:06:00"/>
        <d v="2026-01-18T05:26:00"/>
        <d v="2026-01-21T06:48:00"/>
        <d v="2026-01-21T01:58:00"/>
        <d v="2026-01-18T23:46:00"/>
        <d v="2026-01-29T05:59:00"/>
        <d v="2026-01-16T05:59:00"/>
        <d v="2026-01-10T18:38:00"/>
        <d v="2026-01-15T20:34:00"/>
        <d v="2026-01-28T16:29:00"/>
        <d v="2026-01-11T05:46:00"/>
        <d v="2026-01-06T00:47:00"/>
        <d v="2026-01-22T06:11:00"/>
        <d v="2026-01-17T10:05:00"/>
        <d v="2026-01-05T15:20:00"/>
        <d v="2026-01-13T07:28:00"/>
        <d v="2026-01-19T23:36:00"/>
        <d v="2026-01-12T22:15:00"/>
        <d v="2026-01-10T05:25:00"/>
        <d v="2026-01-04T20:58:00"/>
        <d v="2026-01-08T07:08:00"/>
        <d v="2026-01-24T19:23:00"/>
        <d v="2026-01-25T17:51:00"/>
        <d v="2026-01-08T21:48:00"/>
        <d v="2026-01-15T16:45:00"/>
        <d v="2026-01-04T01:53:00"/>
        <d v="2026-01-19T17:09:00"/>
        <d v="2026-01-15T03:43:00"/>
        <d v="2026-01-03T16:28:00"/>
        <d v="2026-01-17T13:29:00"/>
        <d v="2026-01-15T21:51:00"/>
        <d v="2026-01-09T00:47:00"/>
        <d v="2026-01-02T13:22:00"/>
        <d v="2026-01-30T02:59:00"/>
        <d v="2026-01-14T05:49:00"/>
        <d v="2026-01-29T12:28:00"/>
        <d v="2026-01-22T21:55:00"/>
        <d v="2026-01-28T11:07:00"/>
        <d v="2026-01-17T04:46:00"/>
        <d v="2026-01-01T09:29:00"/>
        <d v="2026-01-18T12:52:00"/>
        <d v="2026-01-12T04:17:00"/>
        <d v="2026-01-26T21:26:00"/>
        <d v="2026-01-07T02:06:00"/>
        <d v="2026-01-20T21:45:00"/>
        <d v="2026-01-02T12:28:00"/>
        <d v="2026-01-25T01:08:00"/>
        <d v="2026-01-27T23:36:00"/>
        <d v="2026-01-25T21:52:00"/>
        <d v="2026-01-29T04:42:00"/>
        <d v="2026-01-10T08:03:00"/>
        <d v="2026-01-30T05:40:00"/>
        <d v="2026-01-16T01:22:00"/>
        <d v="2026-01-17T10:44:00"/>
        <d v="2026-01-10T12:11:00"/>
        <d v="2026-01-28T07:19:00"/>
        <d v="2026-01-18T13:26:00"/>
        <d v="2026-01-13T07:16:00"/>
        <d v="2026-01-03T14:54:00"/>
        <d v="2026-01-24T06:03:00"/>
        <d v="2026-01-20T19:02:00"/>
        <d v="2026-01-19T23:42:00"/>
        <d v="2026-01-07T10:19:00"/>
        <d v="2026-01-24T03:47:00"/>
        <d v="2026-01-20T22:13:00"/>
        <d v="2026-01-11T09:24:00"/>
        <d v="2026-01-12T09:16:00"/>
        <d v="2026-01-15T03:51:00"/>
        <d v="2026-01-12T10:26:00"/>
        <d v="2026-01-24T04:01:00"/>
        <d v="2026-01-19T23:26:00"/>
        <d v="2026-01-11T07:24:00"/>
        <d v="2026-01-18T20:43:00"/>
        <d v="2026-01-27T15:46:00"/>
        <d v="2026-01-06T23:50:00"/>
        <d v="2026-01-24T17:31:00"/>
        <d v="2026-01-02T16:02:00"/>
        <d v="2026-01-01T13:08:00"/>
        <d v="2026-01-23T04:00:00"/>
        <d v="2026-01-12T01:39:00"/>
        <d v="2026-01-22T15:01:00"/>
        <d v="2026-01-14T00:01:00"/>
        <d v="2026-01-10T00:32:00"/>
        <d v="2026-01-04T03:33:00"/>
        <d v="2026-01-20T16:16:00"/>
        <d v="2026-01-03T11:25:00"/>
        <d v="2026-01-13T12:24:00"/>
        <d v="2026-01-21T00:44:00"/>
        <d v="2026-01-28T13:41:00"/>
        <d v="2026-01-29T16:58:00"/>
        <d v="2026-01-29T22:56:00"/>
        <d v="2026-01-02T02:43:00"/>
        <d v="2026-01-22T01:11:00"/>
        <d v="2026-01-19T04:48:00"/>
        <d v="2026-01-06T18:15:00"/>
        <d v="2026-01-29T17:21:00"/>
        <d v="2026-01-24T02:32:00"/>
        <d v="2026-01-14T07:53:00"/>
        <d v="2026-01-25T19:38:00"/>
        <d v="2026-01-21T08:50:00"/>
        <d v="2026-01-12T17:24:00"/>
        <d v="2026-01-19T21:24:00"/>
        <d v="2026-01-26T07:45:00"/>
        <d v="2026-01-05T12:45:00"/>
        <d v="2026-01-13T10:23:00"/>
        <d v="2026-01-10T14:23:00"/>
        <d v="2026-01-03T05:27:00"/>
        <d v="2026-01-17T13:06:00"/>
        <d v="2026-01-18T02:38:00"/>
        <d v="2026-01-01T09:26:00"/>
        <d v="2026-01-29T17:57:00"/>
        <d v="2026-01-06T21:24:00"/>
        <d v="2026-01-10T08:31:00"/>
        <d v="2026-01-14T08:26:00"/>
        <d v="2026-01-03T11:16:00"/>
        <d v="2026-01-30T06:00:00"/>
        <d v="2026-01-11T12:00:00"/>
        <d v="2026-01-21T14:00:00"/>
        <d v="2026-01-21T19:00:00"/>
        <d v="2026-01-16T12:00:00"/>
        <d v="2026-01-29T07:00:00"/>
        <d v="2026-01-23T11:00:00"/>
        <d v="2026-01-28T05:00:00"/>
        <d v="2026-01-25T22:00:00"/>
        <d v="2026-01-13T13:00:00"/>
        <d v="2026-01-20T07:00:00"/>
        <d v="2026-01-23T02:00:00"/>
        <d v="2026-01-23T17:00:00"/>
        <d v="2026-01-22T22:00:00"/>
        <d v="2026-01-18T21:00:00"/>
        <d v="2026-01-02T18:00:00"/>
        <d v="2026-01-02T18:01:00"/>
        <d v="2026-01-02T18:02:00"/>
        <d v="2026-01-02T18:03:00"/>
        <d v="2026-01-12T12:00:00"/>
        <d v="2026-01-12T12:01:00"/>
        <d v="2026-01-12T12:02:00"/>
        <d v="2026-01-12T12:03:00"/>
        <d v="2026-01-12T09:00:00"/>
        <d v="2026-01-12T09:01:00"/>
        <d v="2026-01-12T09:02:00"/>
        <d v="2026-01-12T09:03:00"/>
        <d v="2026-01-02T22:00:00"/>
        <d v="2026-01-02T22:01:00"/>
        <d v="2026-01-02T22:02:00"/>
        <d v="2026-01-02T22:03:00"/>
        <d v="2026-01-14T14:00:00"/>
        <d v="2026-01-14T14:01:00"/>
        <d v="2026-01-14T14:02:00"/>
        <d v="2026-01-14T14:03:00"/>
        <d v="2026-01-01T22:00:00"/>
        <d v="2026-01-01T22:01:00"/>
        <d v="2026-01-01T22:02:00"/>
        <d v="2026-01-01T22:03:00"/>
        <d v="2026-01-09T21:00:00"/>
        <d v="2026-01-09T21:01:00"/>
        <d v="2026-01-09T21:02:00"/>
        <d v="2026-01-09T21:03:00"/>
        <d v="2026-01-23T09:00:00"/>
        <d v="2026-01-23T09:01:00"/>
        <d v="2026-01-23T09:02:00"/>
        <d v="2026-01-23T09:03:00"/>
      </sharedItems>
    </cacheField>
    <cacheField name="amount_inr" numFmtId="0">
      <sharedItems containsSemiMixedTypes="0" containsString="0" containsNumber="1" containsInteger="1" minValue="49" maxValue="4999" count="12">
        <n v="2999"/>
        <n v="49"/>
        <n v="1499"/>
        <n v="99"/>
        <n v="799"/>
        <n v="299"/>
        <n v="499"/>
        <n v="149"/>
        <n v="4999"/>
        <n v="1999"/>
        <n v="999"/>
        <n v="399"/>
      </sharedItems>
    </cacheField>
    <cacheField name="payment_method" numFmtId="0">
      <sharedItems count="4">
        <s v="Wallet"/>
        <s v="UPI"/>
        <s v="Netbanking"/>
        <s v="Card"/>
      </sharedItems>
    </cacheField>
    <cacheField name="status" numFmtId="0">
      <sharedItems count="3">
        <s v="captured"/>
        <s v="failed"/>
        <s v="chargeback"/>
      </sharedItems>
    </cacheField>
    <cacheField name="risk_score" numFmtId="0">
      <sharedItems containsSemiMixedTypes="0" containsString="0" containsNumber="1" containsInteger="1" minValue="0" maxValue="100" count="101">
        <n v="85"/>
        <n v="79"/>
        <n v="22"/>
        <n v="100"/>
        <n v="34"/>
        <n v="60"/>
        <n v="39"/>
        <n v="51"/>
        <n v="44"/>
        <n v="42"/>
        <n v="74"/>
        <n v="14"/>
        <n v="90"/>
        <n v="46"/>
        <n v="40"/>
        <n v="70"/>
        <n v="86"/>
        <n v="55"/>
        <n v="59"/>
        <n v="36"/>
        <n v="11"/>
        <n v="25"/>
        <n v="78"/>
        <n v="24"/>
        <n v="31"/>
        <n v="99"/>
        <n v="6"/>
        <n v="17"/>
        <n v="76"/>
        <n v="33"/>
        <n v="98"/>
        <n v="35"/>
        <n v="8"/>
        <n v="53"/>
        <n v="61"/>
        <n v="68"/>
        <n v="62"/>
        <n v="49"/>
        <n v="50"/>
        <n v="82"/>
        <n v="41"/>
        <n v="10"/>
        <n v="96"/>
        <n v="19"/>
        <n v="72"/>
        <n v="21"/>
        <n v="75"/>
        <n v="87"/>
        <n v="64"/>
        <n v="13"/>
        <n v="43"/>
        <n v="1"/>
        <n v="57"/>
        <n v="47"/>
        <n v="95"/>
        <n v="15"/>
        <n v="27"/>
        <n v="29"/>
        <n v="16"/>
        <n v="89"/>
        <n v="28"/>
        <n v="38"/>
        <n v="80"/>
        <n v="30"/>
        <n v="52"/>
        <n v="4"/>
        <n v="9"/>
        <n v="84"/>
        <n v="5"/>
        <n v="32"/>
        <n v="58"/>
        <n v="26"/>
        <n v="0"/>
        <n v="73"/>
        <n v="12"/>
        <n v="83"/>
        <n v="69"/>
        <n v="56"/>
        <n v="63"/>
        <n v="81"/>
        <n v="88"/>
        <n v="77"/>
        <n v="71"/>
        <n v="7"/>
        <n v="2"/>
        <n v="65"/>
        <n v="37"/>
        <n v="97"/>
        <n v="54"/>
        <n v="67"/>
        <n v="93"/>
        <n v="91"/>
        <n v="48"/>
        <n v="18"/>
        <n v="23"/>
        <n v="66"/>
        <n v="3"/>
        <n v="20"/>
        <n v="92"/>
        <n v="94"/>
        <n v="45"/>
      </sharedItems>
    </cacheField>
    <cacheField name="merchant_name" numFmtId="0">
      <sharedItems count="40"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</sharedItems>
    </cacheField>
    <cacheField name="category" numFmtId="0">
      <sharedItems count="7">
        <s v="bill_payment"/>
        <s v="ecommerce"/>
        <s v="travel"/>
        <s v="grocery"/>
        <s v="recharge"/>
        <s v="entertainment"/>
        <s v="food_delivery"/>
      </sharedItems>
    </cacheField>
    <cacheField name="region" numFmtId="0">
      <sharedItems count="4">
        <s v="West"/>
        <s v="North"/>
        <s v="South"/>
        <s v="East"/>
      </sharedItems>
    </cacheField>
    <cacheField name="MDR Fee %" numFmtId="10">
      <sharedItems containsSemiMixedTypes="0" containsString="0" containsNumber="1" minValue="0" maxValue="0.02" count="4">
        <n v="0.01"/>
        <n v="0"/>
        <n v="0.015"/>
        <n v="0.02"/>
      </sharedItems>
    </cacheField>
    <cacheField name="Date" numFmtId="0">
      <sharedItems containsSemiMixedTypes="0" containsString="0" containsNonDate="0" containsDate="1" minDate="2026-01-01T00:00:00" maxDate="2026-01-30T00:00:00" count="30">
        <d v="2026-01-29T00:00:00"/>
        <d v="2026-01-04T00:00:00"/>
        <d v="2026-01-24T00:00:00"/>
        <d v="2026-01-30T00:00:00"/>
        <d v="2026-01-06T00:00:00"/>
        <d v="2026-01-08T00:00:00"/>
        <d v="2026-01-27T00:00:00"/>
        <d v="2026-01-11T00:00:00"/>
        <d v="2026-01-21T00:00:00"/>
        <d v="2026-01-01T00:00:00"/>
        <d v="2026-01-09T00:00:00"/>
        <d v="2026-01-13T00:00:00"/>
        <d v="2026-01-14T00:00:00"/>
        <d v="2026-01-22T00:00:00"/>
        <d v="2026-01-05T00:00:00"/>
        <d v="2026-01-18T00:00:00"/>
        <d v="2026-01-26T00:00:00"/>
        <d v="2026-01-15T00:00:00"/>
        <d v="2026-01-17T00:00:00"/>
        <d v="2026-01-28T00:00:00"/>
        <d v="2026-01-23T00:00:00"/>
        <d v="2026-01-25T00:00:00"/>
        <d v="2026-01-02T00:00:00"/>
        <d v="2026-01-19T00:00:00"/>
        <d v="2026-01-16T00:00:00"/>
        <d v="2026-01-07T00:00:00"/>
        <d v="2026-01-20T00:00:00"/>
        <d v="2026-01-10T00:00:00"/>
        <d v="2026-01-12T00:00:00"/>
        <d v="2026-01-03T00:00: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8.7653587963" refreshedBy="miralraysoni" recordCount="547">
  <cacheSource type="worksheet">
    <worksheetSource ref="A1:P548" sheet="Transactions-view sheet"/>
  </cacheSource>
  <cacheFields count="16">
    <cacheField name="transaction_id" numFmtId="0">
      <sharedItems count="547"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</sharedItems>
    </cacheField>
    <cacheField name="user_id" numFmtId="0">
      <sharedItems containsSemiMixedTypes="0" containsString="0" containsNumber="1" containsInteger="1" minValue="1" maxValue="365" count="283">
        <n v="350"/>
        <n v="287"/>
        <n v="122"/>
        <n v="92"/>
        <n v="343"/>
        <n v="196"/>
        <n v="236"/>
        <n v="13"/>
        <n v="36"/>
        <n v="348"/>
        <n v="134"/>
        <n v="306"/>
        <n v="311"/>
        <n v="131"/>
        <n v="276"/>
        <n v="170"/>
        <n v="154"/>
        <n v="207"/>
        <n v="341"/>
        <n v="292"/>
        <n v="147"/>
        <n v="336"/>
        <n v="110"/>
        <n v="338"/>
        <n v="318"/>
        <n v="159"/>
        <n v="126"/>
        <n v="213"/>
        <n v="254"/>
        <n v="3"/>
        <n v="266"/>
        <n v="63"/>
        <n v="272"/>
        <n v="259"/>
        <n v="244"/>
        <n v="327"/>
        <n v="321"/>
        <n v="277"/>
        <n v="79"/>
        <n v="278"/>
        <n v="216"/>
        <n v="295"/>
        <n v="200"/>
        <n v="309"/>
        <n v="249"/>
        <n v="208"/>
        <n v="274"/>
        <n v="14"/>
        <n v="237"/>
        <n v="109"/>
        <n v="334"/>
        <n v="11"/>
        <n v="132"/>
        <n v="59"/>
        <n v="160"/>
        <n v="102"/>
        <n v="53"/>
        <n v="290"/>
        <n v="190"/>
        <n v="248"/>
        <n v="138"/>
        <n v="231"/>
        <n v="167"/>
        <n v="133"/>
        <n v="142"/>
        <n v="124"/>
        <n v="151"/>
        <n v="340"/>
        <n v="177"/>
        <n v="233"/>
        <n v="99"/>
        <n v="95"/>
        <n v="302"/>
        <n v="100"/>
        <n v="8"/>
        <n v="284"/>
        <n v="252"/>
        <n v="246"/>
        <n v="245"/>
        <n v="296"/>
        <n v="44"/>
        <n v="157"/>
        <n v="51"/>
        <n v="42"/>
        <n v="81"/>
        <n v="241"/>
        <n v="145"/>
        <n v="136"/>
        <n v="137"/>
        <n v="158"/>
        <n v="148"/>
        <n v="166"/>
        <n v="346"/>
        <n v="326"/>
        <n v="171"/>
        <n v="211"/>
        <n v="282"/>
        <n v="1"/>
        <n v="227"/>
        <n v="323"/>
        <n v="283"/>
        <n v="150"/>
        <n v="197"/>
        <n v="70"/>
        <n v="260"/>
        <n v="301"/>
        <n v="279"/>
        <n v="97"/>
        <n v="52"/>
        <n v="74"/>
        <n v="163"/>
        <n v="121"/>
        <n v="15"/>
        <n v="184"/>
        <n v="90"/>
        <n v="119"/>
        <n v="342"/>
        <n v="280"/>
        <n v="155"/>
        <n v="152"/>
        <n v="21"/>
        <n v="187"/>
        <n v="188"/>
        <n v="85"/>
        <n v="174"/>
        <n v="116"/>
        <n v="203"/>
        <n v="189"/>
        <n v="56"/>
        <n v="288"/>
        <n v="60"/>
        <n v="199"/>
        <n v="17"/>
        <n v="186"/>
        <n v="331"/>
        <n v="328"/>
        <n v="65"/>
        <n v="230"/>
        <n v="258"/>
        <n v="32"/>
        <n v="312"/>
        <n v="325"/>
        <n v="221"/>
        <n v="161"/>
        <n v="222"/>
        <n v="67"/>
        <n v="169"/>
        <n v="217"/>
        <n v="54"/>
        <n v="247"/>
        <n v="337"/>
        <n v="16"/>
        <n v="215"/>
        <n v="140"/>
        <n v="250"/>
        <n v="62"/>
        <n v="224"/>
        <n v="262"/>
        <n v="179"/>
        <n v="76"/>
        <n v="89"/>
        <n v="91"/>
        <n v="297"/>
        <n v="78"/>
        <n v="156"/>
        <n v="38"/>
        <n v="305"/>
        <n v="22"/>
        <n v="310"/>
        <n v="269"/>
        <n v="307"/>
        <n v="130"/>
        <n v="66"/>
        <n v="261"/>
        <n v="71"/>
        <n v="317"/>
        <n v="93"/>
        <n v="313"/>
        <n v="103"/>
        <n v="329"/>
        <n v="265"/>
        <n v="114"/>
        <n v="28"/>
        <n v="242"/>
        <n v="316"/>
        <n v="77"/>
        <n v="57"/>
        <n v="123"/>
        <n v="33"/>
        <n v="324"/>
        <n v="293"/>
        <n v="183"/>
        <n v="322"/>
        <n v="330"/>
        <n v="235"/>
        <n v="204"/>
        <n v="332"/>
        <n v="205"/>
        <n v="255"/>
        <n v="218"/>
        <n v="86"/>
        <n v="181"/>
        <n v="30"/>
        <n v="263"/>
        <n v="225"/>
        <n v="228"/>
        <n v="229"/>
        <n v="164"/>
        <n v="149"/>
        <n v="185"/>
        <n v="94"/>
        <n v="64"/>
        <n v="41"/>
        <n v="289"/>
        <n v="153"/>
        <n v="226"/>
        <n v="82"/>
        <n v="26"/>
        <n v="69"/>
        <n v="24"/>
        <n v="20"/>
        <n v="234"/>
        <n v="168"/>
        <n v="251"/>
        <n v="195"/>
        <n v="314"/>
        <n v="273"/>
        <n v="349"/>
        <n v="143"/>
        <n v="335"/>
        <n v="46"/>
        <n v="19"/>
        <n v="55"/>
        <n v="173"/>
        <n v="206"/>
        <n v="128"/>
        <n v="6"/>
        <n v="281"/>
        <n v="106"/>
        <n v="29"/>
        <n v="112"/>
        <n v="194"/>
        <n v="115"/>
        <n v="345"/>
        <n v="118"/>
        <n v="315"/>
        <n v="25"/>
        <n v="120"/>
        <n v="165"/>
        <n v="267"/>
        <n v="286"/>
        <n v="214"/>
        <n v="105"/>
        <n v="239"/>
        <n v="39"/>
        <n v="4"/>
        <n v="182"/>
        <n v="88"/>
        <n v="291"/>
        <n v="144"/>
        <n v="162"/>
        <n v="178"/>
        <n v="139"/>
        <n v="125"/>
        <n v="87"/>
        <n v="75"/>
        <n v="127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73"/>
      </sharedItems>
    </cacheField>
    <cacheField name="merchant_id" numFmtId="0">
      <sharedItems containsSemiMixedTypes="0" containsString="0" containsNumber="1" containsInteger="1" minValue="1" maxValue="40" count="40">
        <n v="16"/>
        <n v="27"/>
        <n v="11"/>
        <n v="22"/>
        <n v="3"/>
        <n v="23"/>
        <n v="13"/>
        <n v="18"/>
        <n v="35"/>
        <n v="12"/>
        <n v="28"/>
        <n v="33"/>
        <n v="40"/>
        <n v="19"/>
        <n v="25"/>
        <n v="20"/>
        <n v="14"/>
        <n v="21"/>
        <n v="6"/>
        <n v="15"/>
        <n v="31"/>
        <n v="37"/>
        <n v="26"/>
        <n v="7"/>
        <n v="30"/>
        <n v="36"/>
        <n v="29"/>
        <n v="2"/>
        <n v="17"/>
        <n v="4"/>
        <n v="8"/>
        <n v="24"/>
        <n v="5"/>
        <n v="32"/>
        <n v="10"/>
        <n v="38"/>
        <n v="34"/>
        <n v="1"/>
        <n v="39"/>
        <n v="9"/>
      </sharedItems>
    </cacheField>
    <cacheField name="transaction_time" numFmtId="22">
      <sharedItems containsSemiMixedTypes="0" containsString="0" containsNonDate="0" containsDate="1" minDate="2026-01-01T02:14:00" maxDate="2026-01-30T23:17:00" count="542">
        <d v="2026-01-29T11:13:00"/>
        <d v="2026-01-04T11:49:00"/>
        <d v="2026-01-24T04:59:00"/>
        <d v="2026-01-29T13:01:00"/>
        <d v="2026-01-30T13:51:00"/>
        <d v="2026-01-06T22:06:00"/>
        <d v="2026-01-08T06:52:00"/>
        <d v="2026-01-27T07:14:00"/>
        <d v="2026-01-11T08:55:00"/>
        <d v="2026-01-21T16:25:00"/>
        <d v="2026-01-01T03:56:00"/>
        <d v="2026-01-09T01:06:00"/>
        <d v="2026-01-24T10:27:00"/>
        <d v="2026-01-13T18:12:00"/>
        <d v="2026-01-14T00:33:00"/>
        <d v="2026-01-14T02:42:00"/>
        <d v="2026-01-22T03:46:00"/>
        <d v="2026-01-22T13:20:00"/>
        <d v="2026-01-05T06:26:00"/>
        <d v="2026-01-24T05:39:00"/>
        <d v="2026-01-18T00:19:00"/>
        <d v="2026-01-26T18:38:00"/>
        <d v="2026-01-15T14:43:00"/>
        <d v="2026-01-26T23:10:00"/>
        <d v="2026-01-17T21:40:00"/>
        <d v="2026-01-27T07:43:00"/>
        <d v="2026-01-05T00:02:00"/>
        <d v="2026-01-28T02:29:00"/>
        <d v="2026-01-23T22:24:00"/>
        <d v="2026-01-05T20:44:00"/>
        <d v="2026-01-14T07:11:00"/>
        <d v="2026-01-18T07:58:00"/>
        <d v="2026-01-26T14:42:00"/>
        <d v="2026-01-11T14:39:00"/>
        <d v="2026-01-15T05:47:00"/>
        <d v="2026-01-25T07:53:00"/>
        <d v="2026-01-25T16:31:00"/>
        <d v="2026-01-15T02:45:00"/>
        <d v="2026-01-11T10:57:00"/>
        <d v="2026-01-05T07:24:00"/>
        <d v="2026-01-14T13:21:00"/>
        <d v="2026-01-02T06:53:00"/>
        <d v="2026-01-19T22:01:00"/>
        <d v="2026-01-01T11:19:00"/>
        <d v="2026-01-24T23:34:00"/>
        <d v="2026-01-08T08:27:00"/>
        <d v="2026-01-11T21:43:00"/>
        <d v="2026-01-30T04:39:00"/>
        <d v="2026-01-19T18:42:00"/>
        <d v="2026-01-14T04:55:00"/>
        <d v="2026-01-09T12:20:00"/>
        <d v="2026-01-11T12:17:00"/>
        <d v="2026-01-16T00:47:00"/>
        <d v="2026-01-08T20:04:00"/>
        <d v="2026-01-01T07:12:00"/>
        <d v="2026-01-08T04:30:00"/>
        <d v="2026-01-07T14:44:00"/>
        <d v="2026-01-20T19:47:00"/>
        <d v="2026-01-04T18:01:00"/>
        <d v="2026-01-30T12:25:00"/>
        <d v="2026-01-23T20:15:00"/>
        <d v="2026-01-20T03:50:00"/>
        <d v="2026-01-18T13:42:00"/>
        <d v="2026-01-21T10:00:00"/>
        <d v="2026-01-14T11:40:00"/>
        <d v="2026-01-06T23:33:00"/>
        <d v="2026-01-26T17:49:00"/>
        <d v="2026-01-27T23:37:00"/>
        <d v="2026-01-27T02:17:00"/>
        <d v="2026-01-15T18:39:00"/>
        <d v="2026-01-01T15:54:00"/>
        <d v="2026-01-07T11:51:00"/>
        <d v="2026-01-29T19:44:00"/>
        <d v="2026-01-17T06:05:00"/>
        <d v="2026-01-18T07:44:00"/>
        <d v="2026-01-26T00:05:00"/>
        <d v="2026-01-23T07:19:00"/>
        <d v="2026-01-16T17:33:00"/>
        <d v="2026-01-18T10:22:00"/>
        <d v="2026-01-09T07:07:00"/>
        <d v="2026-01-24T17:48:00"/>
        <d v="2026-01-24T15:17:00"/>
        <d v="2026-01-10T03:53:00"/>
        <d v="2026-01-12T05:19:00"/>
        <d v="2026-01-09T01:03:00"/>
        <d v="2026-01-05T20:55:00"/>
        <d v="2026-01-19T09:30:00"/>
        <d v="2026-01-06T01:16:00"/>
        <d v="2026-01-13T15:04:00"/>
        <d v="2026-01-05T18:19:00"/>
        <d v="2026-01-18T13:38:00"/>
        <d v="2026-01-25T16:24:00"/>
        <d v="2026-01-28T18:27:00"/>
        <d v="2026-01-02T19:47:00"/>
        <d v="2026-01-07T08:42:00"/>
        <d v="2026-01-06T17:04:00"/>
        <d v="2026-01-15T22:38:00"/>
        <d v="2026-01-08T09:45:00"/>
        <d v="2026-01-22T07:59:00"/>
        <d v="2026-01-26T06:27:00"/>
        <d v="2026-01-21T04:58:00"/>
        <d v="2026-01-02T05:50:00"/>
        <d v="2026-01-27T18:58:00"/>
        <d v="2026-01-15T22:19:00"/>
        <d v="2026-01-18T15:28:00"/>
        <d v="2026-01-29T13:47:00"/>
        <d v="2026-01-01T02:14:00"/>
        <d v="2026-01-01T21:52:00"/>
        <d v="2026-01-25T05:30:00"/>
        <d v="2026-01-06T18:27:00"/>
        <d v="2026-01-16T11:26:00"/>
        <d v="2026-01-04T05:21:00"/>
        <d v="2026-01-22T12:52:00"/>
        <d v="2026-01-03T10:16:00"/>
        <d v="2026-01-13T16:52:00"/>
        <d v="2026-01-14T01:12:00"/>
        <d v="2026-01-25T15:40:00"/>
        <d v="2026-01-09T17:08:00"/>
        <d v="2026-01-16T03:01:00"/>
        <d v="2026-01-23T05:19:00"/>
        <d v="2026-01-14T02:14:00"/>
        <d v="2026-01-21T04:31:00"/>
        <d v="2026-01-09T13:53:00"/>
        <d v="2026-01-15T17:09:00"/>
        <d v="2026-01-17T23:56:00"/>
        <d v="2026-01-25T13:21:00"/>
        <d v="2026-01-10T23:19:00"/>
        <d v="2026-01-16T04:28:00"/>
        <d v="2026-01-11T17:48:00"/>
        <d v="2026-01-30T10:55:00"/>
        <d v="2026-01-13T07:54:00"/>
        <d v="2026-01-24T15:45:00"/>
        <d v="2026-01-26T20:09:00"/>
        <d v="2026-01-17T18:21:00"/>
        <d v="2026-01-17T14:00:00"/>
        <d v="2026-01-05T02:30:00"/>
        <d v="2026-01-23T12:41:00"/>
        <d v="2026-01-28T17:24:00"/>
        <d v="2026-01-02T19:04:00"/>
        <d v="2026-01-24T02:27:00"/>
        <d v="2026-01-06T22:19:00"/>
        <d v="2026-01-26T01:18:00"/>
        <d v="2026-01-05T07:33:00"/>
        <d v="2026-01-26T05:10:00"/>
        <d v="2026-01-28T12:39:00"/>
        <d v="2026-01-30T18:09:00"/>
        <d v="2026-01-09T14:16:00"/>
        <d v="2026-01-29T09:43:00"/>
        <d v="2026-01-15T11:37:00"/>
        <d v="2026-01-09T14:54:00"/>
        <d v="2026-01-28T15:06:00"/>
        <d v="2026-01-12T18:18:00"/>
        <d v="2026-01-13T08:00:00"/>
        <d v="2026-01-24T15:53:00"/>
        <d v="2026-01-26T11:14:00"/>
        <d v="2026-01-09T21:48:00"/>
        <d v="2026-01-04T20:41:00"/>
        <d v="2026-01-15T01:37:00"/>
        <d v="2026-01-30T09:20:00"/>
        <d v="2026-01-05T17:56:00"/>
        <d v="2026-01-30T08:53:00"/>
        <d v="2026-01-26T09:47:00"/>
        <d v="2026-01-03T04:48:00"/>
        <d v="2026-01-12T02:50:00"/>
        <d v="2026-01-18T03:29:00"/>
        <d v="2026-01-13T20:23:00"/>
        <d v="2026-01-01T19:56:00"/>
        <d v="2026-01-10T20:26:00"/>
        <d v="2026-01-02T09:31:00"/>
        <d v="2026-01-29T17:08:00"/>
        <d v="2026-01-22T23:44:00"/>
        <d v="2026-01-24T23:09:00"/>
        <d v="2026-01-20T13:17:00"/>
        <d v="2026-01-15T14:15:00"/>
        <d v="2026-01-12T17:57:00"/>
        <d v="2026-01-13T08:12:00"/>
        <d v="2026-01-22T06:41:00"/>
        <d v="2026-01-02T10:15:00"/>
        <d v="2026-01-03T17:13:00"/>
        <d v="2026-01-11T04:50:00"/>
        <d v="2026-01-28T04:08:00"/>
        <d v="2026-01-04T21:55:00"/>
        <d v="2026-01-12T07:37:00"/>
        <d v="2026-01-09T01:08:00"/>
        <d v="2026-01-24T02:30:00"/>
        <d v="2026-01-19T03:28:00"/>
        <d v="2026-01-02T23:50:00"/>
        <d v="2026-01-15T20:01:00"/>
        <d v="2026-01-14T21:06:00"/>
        <d v="2026-01-29T02:20:00"/>
        <d v="2026-01-05T08:39:00"/>
        <d v="2026-01-23T10:24:00"/>
        <d v="2026-01-15T16:38:00"/>
        <d v="2026-01-15T07:26:00"/>
        <d v="2026-01-14T23:06:00"/>
        <d v="2026-01-22T08:23:00"/>
        <d v="2026-01-03T02:05:00"/>
        <d v="2026-01-24T11:51:00"/>
        <d v="2026-01-19T17:35:00"/>
        <d v="2026-01-12T21:48:00"/>
        <d v="2026-01-20T09:22:00"/>
        <d v="2026-01-07T04:42:00"/>
        <d v="2026-01-12T17:23:00"/>
        <d v="2026-01-08T13:54:00"/>
        <d v="2026-01-22T20:35:00"/>
        <d v="2026-01-27T22:17:00"/>
        <d v="2026-01-23T09:58:00"/>
        <d v="2026-01-06T04:36:00"/>
        <d v="2026-01-05T23:40:00"/>
        <d v="2026-01-17T06:24:00"/>
        <d v="2026-01-06T11:19:00"/>
        <d v="2026-01-03T01:09:00"/>
        <d v="2026-01-22T02:17:00"/>
        <d v="2026-01-20T14:26:00"/>
        <d v="2026-01-17T03:22:00"/>
        <d v="2026-01-22T21:37:00"/>
        <d v="2026-01-10T01:14:00"/>
        <d v="2026-01-01T06:19:00"/>
        <d v="2026-01-09T09:20:00"/>
        <d v="2026-01-24T13:11:00"/>
        <d v="2026-01-23T07:32:00"/>
        <d v="2026-01-13T23:02:00"/>
        <d v="2026-01-30T02:55:00"/>
        <d v="2026-01-19T12:45:00"/>
        <d v="2026-01-04T12:01:00"/>
        <d v="2026-01-15T22:58:00"/>
        <d v="2026-01-28T03:15:00"/>
        <d v="2026-01-17T02:25:00"/>
        <d v="2026-01-11T05:04:00"/>
        <d v="2026-01-17T06:57:00"/>
        <d v="2026-01-27T20:52:00"/>
        <d v="2026-01-05T08:12:00"/>
        <d v="2026-01-25T20:04:00"/>
        <d v="2026-01-25T18:48:00"/>
        <d v="2026-01-30T18:41:00"/>
        <d v="2026-01-28T20:20:00"/>
        <d v="2026-01-16T14:40:00"/>
        <d v="2026-01-02T11:32:00"/>
        <d v="2026-01-15T01:03:00"/>
        <d v="2026-01-21T02:39:00"/>
        <d v="2026-01-15T18:35:00"/>
        <d v="2026-01-21T06:20:00"/>
        <d v="2026-01-05T01:28:00"/>
        <d v="2026-01-03T16:41:00"/>
        <d v="2026-01-23T14:28:00"/>
        <d v="2026-01-06T11:23:00"/>
        <d v="2026-01-25T10:43:00"/>
        <d v="2026-01-21T10:04:00"/>
        <d v="2026-01-22T12:18:00"/>
        <d v="2026-01-11T02:37:00"/>
        <d v="2026-01-10T20:44:00"/>
        <d v="2026-01-20T22:05:00"/>
        <d v="2026-01-21T10:52:00"/>
        <d v="2026-01-21T21:27:00"/>
        <d v="2026-01-12T09:11:00"/>
        <d v="2026-01-16T06:14:00"/>
        <d v="2026-01-10T03:32:00"/>
        <d v="2026-01-22T10:56:00"/>
        <d v="2026-01-13T04:10:00"/>
        <d v="2026-01-24T14:02:00"/>
        <d v="2026-01-24T07:28:00"/>
        <d v="2026-01-24T14:14:00"/>
        <d v="2026-01-26T15:57:00"/>
        <d v="2026-01-19T14:29:00"/>
        <d v="2026-01-17T13:10:00"/>
        <d v="2026-01-28T08:03:00"/>
        <d v="2026-01-18T03:45:00"/>
        <d v="2026-01-03T05:17:00"/>
        <d v="2026-01-27T13:05:00"/>
        <d v="2026-01-30T00:26:00"/>
        <d v="2026-01-12T07:24:00"/>
        <d v="2026-01-01T10:59:00"/>
        <d v="2026-01-05T01:18:00"/>
        <d v="2026-01-23T15:28:00"/>
        <d v="2026-01-01T08:13:00"/>
        <d v="2026-01-20T16:27:00"/>
        <d v="2026-01-10T03:03:00"/>
        <d v="2026-01-26T19:29:00"/>
        <d v="2026-01-20T17:01:00"/>
        <d v="2026-01-08T22:09:00"/>
        <d v="2026-01-20T11:15:00"/>
        <d v="2026-01-22T21:05:00"/>
        <d v="2026-01-17T17:32:00"/>
        <d v="2026-01-13T15:02:00"/>
        <d v="2026-01-09T23:01:00"/>
        <d v="2026-01-08T23:42:00"/>
        <d v="2026-01-19T23:48:00"/>
        <d v="2026-01-12T17:21:00"/>
        <d v="2026-01-22T14:44:00"/>
        <d v="2026-01-03T22:49:00"/>
        <d v="2026-01-07T01:50:00"/>
        <d v="2026-01-30T09:32:00"/>
        <d v="2026-01-09T01:48:00"/>
        <d v="2026-01-12T01:55:00"/>
        <d v="2026-01-04T11:27:00"/>
        <d v="2026-01-11T05:31:00"/>
        <d v="2026-01-09T02:46:00"/>
        <d v="2026-01-20T05:34:00"/>
        <d v="2026-01-03T10:42:00"/>
        <d v="2026-01-20T22:27:00"/>
        <d v="2026-01-15T01:46:00"/>
        <d v="2026-01-09T20:50:00"/>
        <d v="2026-01-21T12:23:00"/>
        <d v="2026-01-05T19:43:00"/>
        <d v="2026-01-03T07:49:00"/>
        <d v="2026-01-13T18:02:00"/>
        <d v="2026-01-15T11:23:00"/>
        <d v="2026-01-05T16:23:00"/>
        <d v="2026-01-17T12:58:00"/>
        <d v="2026-01-25T08:45:00"/>
        <d v="2026-01-10T22:58:00"/>
        <d v="2026-01-05T02:28:00"/>
        <d v="2026-01-26T21:54:00"/>
        <d v="2026-01-03T17:34:00"/>
        <d v="2026-01-23T22:59:00"/>
        <d v="2026-01-17T07:07:00"/>
        <d v="2026-01-26T15:01:00"/>
        <d v="2026-01-12T14:51:00"/>
        <d v="2026-01-29T02:04:00"/>
        <d v="2026-01-24T15:33:00"/>
        <d v="2026-01-03T04:20:00"/>
        <d v="2026-01-15T21:33:00"/>
        <d v="2026-01-18T20:37:00"/>
        <d v="2026-01-17T01:53:00"/>
        <d v="2026-01-10T05:10:00"/>
        <d v="2026-01-17T09:54:00"/>
        <d v="2026-01-21T17:17:00"/>
        <d v="2026-01-18T02:32:00"/>
        <d v="2026-01-19T04:10:00"/>
        <d v="2026-01-29T19:21:00"/>
        <d v="2026-01-03T01:41:00"/>
        <d v="2026-01-07T18:26:00"/>
        <d v="2026-01-29T20:34:00"/>
        <d v="2026-01-08T21:25:00"/>
        <d v="2026-01-23T01:10:00"/>
        <d v="2026-01-15T06:21:00"/>
        <d v="2026-01-28T22:20:00"/>
        <d v="2026-01-25T11:32:00"/>
        <d v="2026-01-08T14:07:00"/>
        <d v="2026-01-05T03:03:00"/>
        <d v="2026-01-14T07:55:00"/>
        <d v="2026-01-24T10:12:00"/>
        <d v="2026-01-15T15:56:00"/>
        <d v="2026-01-03T12:32:00"/>
        <d v="2026-01-19T11:03:00"/>
        <d v="2026-01-20T20:43:00"/>
        <d v="2026-01-01T03:27:00"/>
        <d v="2026-01-12T12:23:00"/>
        <d v="2026-01-19T17:12:00"/>
        <d v="2026-01-27T19:43:00"/>
        <d v="2026-01-04T12:23:00"/>
        <d v="2026-01-25T04:12:00"/>
        <d v="2026-01-17T01:02:00"/>
        <d v="2026-01-11T15:33:00"/>
        <d v="2026-01-29T16:08:00"/>
        <d v="2026-01-06T12:39:00"/>
        <d v="2026-01-17T16:34:00"/>
        <d v="2026-01-16T00:23:00"/>
        <d v="2026-01-19T09:50:00"/>
        <d v="2026-01-16T08:41:00"/>
        <d v="2026-01-24T01:37:00"/>
        <d v="2026-01-21T23:39:00"/>
        <d v="2026-01-08T01:36:00"/>
        <d v="2026-01-15T10:26:00"/>
        <d v="2026-01-07T13:32:00"/>
        <d v="2026-01-24T01:45:00"/>
        <d v="2026-01-18T10:42:00"/>
        <d v="2026-01-11T05:29:00"/>
        <d v="2026-01-12T21:49:00"/>
        <d v="2026-01-16T06:15:00"/>
        <d v="2026-01-08T09:49:00"/>
        <d v="2026-01-23T15:20:00"/>
        <d v="2026-01-30T23:17:00"/>
        <d v="2026-01-22T17:24:00"/>
        <d v="2026-01-26T04:18:00"/>
        <d v="2026-01-03T11:59:00"/>
        <d v="2026-01-16T06:12:00"/>
        <d v="2026-01-23T08:08:00"/>
        <d v="2026-01-19T07:15:00"/>
        <d v="2026-01-21T07:03:00"/>
        <d v="2026-01-23T15:06:00"/>
        <d v="2026-01-18T05:26:00"/>
        <d v="2026-01-21T06:48:00"/>
        <d v="2026-01-21T01:58:00"/>
        <d v="2026-01-18T23:46:00"/>
        <d v="2026-01-29T05:59:00"/>
        <d v="2026-01-16T05:59:00"/>
        <d v="2026-01-10T18:38:00"/>
        <d v="2026-01-15T20:34:00"/>
        <d v="2026-01-28T16:29:00"/>
        <d v="2026-01-11T05:46:00"/>
        <d v="2026-01-06T00:47:00"/>
        <d v="2026-01-22T06:11:00"/>
        <d v="2026-01-17T10:05:00"/>
        <d v="2026-01-05T15:20:00"/>
        <d v="2026-01-13T07:28:00"/>
        <d v="2026-01-19T23:36:00"/>
        <d v="2026-01-12T22:15:00"/>
        <d v="2026-01-10T05:25:00"/>
        <d v="2026-01-04T20:58:00"/>
        <d v="2026-01-08T07:08:00"/>
        <d v="2026-01-24T19:23:00"/>
        <d v="2026-01-25T17:51:00"/>
        <d v="2026-01-08T21:48:00"/>
        <d v="2026-01-15T16:45:00"/>
        <d v="2026-01-04T01:53:00"/>
        <d v="2026-01-19T17:09:00"/>
        <d v="2026-01-15T03:43:00"/>
        <d v="2026-01-03T16:28:00"/>
        <d v="2026-01-17T13:29:00"/>
        <d v="2026-01-15T21:51:00"/>
        <d v="2026-01-09T00:47:00"/>
        <d v="2026-01-02T13:22:00"/>
        <d v="2026-01-30T02:59:00"/>
        <d v="2026-01-14T05:49:00"/>
        <d v="2026-01-29T12:28:00"/>
        <d v="2026-01-22T21:55:00"/>
        <d v="2026-01-28T11:07:00"/>
        <d v="2026-01-17T04:46:00"/>
        <d v="2026-01-01T09:29:00"/>
        <d v="2026-01-18T12:52:00"/>
        <d v="2026-01-12T04:17:00"/>
        <d v="2026-01-26T21:26:00"/>
        <d v="2026-01-07T02:06:00"/>
        <d v="2026-01-20T21:45:00"/>
        <d v="2026-01-02T12:28:00"/>
        <d v="2026-01-25T01:08:00"/>
        <d v="2026-01-27T23:36:00"/>
        <d v="2026-01-25T21:52:00"/>
        <d v="2026-01-29T04:42:00"/>
        <d v="2026-01-10T08:03:00"/>
        <d v="2026-01-30T05:40:00"/>
        <d v="2026-01-16T01:22:00"/>
        <d v="2026-01-17T10:44:00"/>
        <d v="2026-01-10T12:11:00"/>
        <d v="2026-01-28T07:19:00"/>
        <d v="2026-01-18T13:26:00"/>
        <d v="2026-01-13T07:16:00"/>
        <d v="2026-01-03T14:54:00"/>
        <d v="2026-01-24T06:03:00"/>
        <d v="2026-01-20T19:02:00"/>
        <d v="2026-01-19T23:42:00"/>
        <d v="2026-01-07T10:19:00"/>
        <d v="2026-01-24T03:47:00"/>
        <d v="2026-01-20T22:13:00"/>
        <d v="2026-01-11T09:24:00"/>
        <d v="2026-01-12T09:16:00"/>
        <d v="2026-01-15T03:51:00"/>
        <d v="2026-01-12T10:26:00"/>
        <d v="2026-01-24T04:01:00"/>
        <d v="2026-01-19T23:26:00"/>
        <d v="2026-01-11T07:24:00"/>
        <d v="2026-01-18T20:43:00"/>
        <d v="2026-01-27T15:46:00"/>
        <d v="2026-01-06T23:50:00"/>
        <d v="2026-01-24T17:31:00"/>
        <d v="2026-01-02T16:02:00"/>
        <d v="2026-01-01T13:08:00"/>
        <d v="2026-01-23T04:00:00"/>
        <d v="2026-01-12T01:39:00"/>
        <d v="2026-01-22T15:01:00"/>
        <d v="2026-01-14T00:01:00"/>
        <d v="2026-01-10T00:32:00"/>
        <d v="2026-01-04T03:33:00"/>
        <d v="2026-01-20T16:16:00"/>
        <d v="2026-01-03T11:25:00"/>
        <d v="2026-01-13T12:24:00"/>
        <d v="2026-01-21T00:44:00"/>
        <d v="2026-01-28T13:41:00"/>
        <d v="2026-01-29T16:58:00"/>
        <d v="2026-01-29T22:56:00"/>
        <d v="2026-01-02T02:43:00"/>
        <d v="2026-01-22T01:11:00"/>
        <d v="2026-01-19T04:48:00"/>
        <d v="2026-01-06T18:15:00"/>
        <d v="2026-01-29T17:21:00"/>
        <d v="2026-01-24T02:32:00"/>
        <d v="2026-01-14T07:53:00"/>
        <d v="2026-01-25T19:38:00"/>
        <d v="2026-01-21T08:50:00"/>
        <d v="2026-01-12T17:24:00"/>
        <d v="2026-01-19T21:24:00"/>
        <d v="2026-01-26T07:45:00"/>
        <d v="2026-01-05T12:45:00"/>
        <d v="2026-01-13T10:23:00"/>
        <d v="2026-01-10T14:23:00"/>
        <d v="2026-01-03T05:27:00"/>
        <d v="2026-01-17T13:06:00"/>
        <d v="2026-01-18T02:38:00"/>
        <d v="2026-01-01T09:26:00"/>
        <d v="2026-01-29T17:57:00"/>
        <d v="2026-01-06T21:24:00"/>
        <d v="2026-01-10T08:31:00"/>
        <d v="2026-01-14T08:26:00"/>
        <d v="2026-01-03T11:16:00"/>
        <d v="2026-01-30T06:00:00"/>
        <d v="2026-01-11T12:00:00"/>
        <d v="2026-01-21T14:00:00"/>
        <d v="2026-01-21T19:00:00"/>
        <d v="2026-01-16T12:00:00"/>
        <d v="2026-01-29T07:00:00"/>
        <d v="2026-01-23T11:00:00"/>
        <d v="2026-01-28T05:00:00"/>
        <d v="2026-01-25T22:00:00"/>
        <d v="2026-01-13T13:00:00"/>
        <d v="2026-01-20T07:00:00"/>
        <d v="2026-01-23T02:00:00"/>
        <d v="2026-01-23T17:00:00"/>
        <d v="2026-01-22T22:00:00"/>
        <d v="2026-01-18T21:00:00"/>
        <d v="2026-01-02T18:00:00"/>
        <d v="2026-01-02T18:01:00"/>
        <d v="2026-01-02T18:02:00"/>
        <d v="2026-01-02T18:03:00"/>
        <d v="2026-01-12T12:00:00"/>
        <d v="2026-01-12T12:01:00"/>
        <d v="2026-01-12T12:02:00"/>
        <d v="2026-01-12T12:03:00"/>
        <d v="2026-01-12T09:00:00"/>
        <d v="2026-01-12T09:01:00"/>
        <d v="2026-01-12T09:02:00"/>
        <d v="2026-01-12T09:03:00"/>
        <d v="2026-01-02T22:00:00"/>
        <d v="2026-01-02T22:01:00"/>
        <d v="2026-01-02T22:02:00"/>
        <d v="2026-01-02T22:03:00"/>
        <d v="2026-01-14T14:00:00"/>
        <d v="2026-01-14T14:01:00"/>
        <d v="2026-01-14T14:02:00"/>
        <d v="2026-01-14T14:03:00"/>
        <d v="2026-01-01T22:00:00"/>
        <d v="2026-01-01T22:01:00"/>
        <d v="2026-01-01T22:02:00"/>
        <d v="2026-01-01T22:03:00"/>
        <d v="2026-01-09T21:00:00"/>
        <d v="2026-01-09T21:01:00"/>
        <d v="2026-01-09T21:02:00"/>
        <d v="2026-01-09T21:03:00"/>
        <d v="2026-01-23T09:00:00"/>
        <d v="2026-01-23T09:01:00"/>
        <d v="2026-01-23T09:02:00"/>
        <d v="2026-01-23T09:03:00"/>
      </sharedItems>
    </cacheField>
    <cacheField name="amount_inr" numFmtId="0">
      <sharedItems containsSemiMixedTypes="0" containsString="0" containsNumber="1" containsInteger="1" minValue="49" maxValue="4999" count="12">
        <n v="2999"/>
        <n v="49"/>
        <n v="1499"/>
        <n v="99"/>
        <n v="799"/>
        <n v="299"/>
        <n v="499"/>
        <n v="149"/>
        <n v="4999"/>
        <n v="1999"/>
        <n v="999"/>
        <n v="399"/>
      </sharedItems>
    </cacheField>
    <cacheField name="payment_method" numFmtId="0">
      <sharedItems count="4">
        <s v="Wallet"/>
        <s v="UPI"/>
        <s v="Netbanking"/>
        <s v="Card"/>
      </sharedItems>
    </cacheField>
    <cacheField name="status" numFmtId="0">
      <sharedItems count="3">
        <s v="captured"/>
        <s v="failed"/>
        <s v="chargeback"/>
      </sharedItems>
    </cacheField>
    <cacheField name="risk_score" numFmtId="0">
      <sharedItems containsSemiMixedTypes="0" containsString="0" containsNumber="1" containsInteger="1" minValue="0" maxValue="100" count="101">
        <n v="85"/>
        <n v="79"/>
        <n v="22"/>
        <n v="100"/>
        <n v="34"/>
        <n v="60"/>
        <n v="39"/>
        <n v="51"/>
        <n v="44"/>
        <n v="42"/>
        <n v="74"/>
        <n v="14"/>
        <n v="90"/>
        <n v="46"/>
        <n v="40"/>
        <n v="70"/>
        <n v="86"/>
        <n v="55"/>
        <n v="59"/>
        <n v="36"/>
        <n v="11"/>
        <n v="25"/>
        <n v="78"/>
        <n v="24"/>
        <n v="31"/>
        <n v="99"/>
        <n v="6"/>
        <n v="17"/>
        <n v="76"/>
        <n v="33"/>
        <n v="98"/>
        <n v="35"/>
        <n v="8"/>
        <n v="53"/>
        <n v="61"/>
        <n v="68"/>
        <n v="62"/>
        <n v="49"/>
        <n v="50"/>
        <n v="82"/>
        <n v="41"/>
        <n v="10"/>
        <n v="96"/>
        <n v="19"/>
        <n v="72"/>
        <n v="21"/>
        <n v="75"/>
        <n v="87"/>
        <n v="64"/>
        <n v="13"/>
        <n v="43"/>
        <n v="1"/>
        <n v="57"/>
        <n v="47"/>
        <n v="95"/>
        <n v="15"/>
        <n v="27"/>
        <n v="29"/>
        <n v="16"/>
        <n v="89"/>
        <n v="28"/>
        <n v="38"/>
        <n v="80"/>
        <n v="30"/>
        <n v="52"/>
        <n v="4"/>
        <n v="9"/>
        <n v="84"/>
        <n v="5"/>
        <n v="32"/>
        <n v="58"/>
        <n v="26"/>
        <n v="0"/>
        <n v="73"/>
        <n v="12"/>
        <n v="83"/>
        <n v="69"/>
        <n v="56"/>
        <n v="63"/>
        <n v="81"/>
        <n v="88"/>
        <n v="77"/>
        <n v="71"/>
        <n v="7"/>
        <n v="2"/>
        <n v="65"/>
        <n v="37"/>
        <n v="97"/>
        <n v="54"/>
        <n v="67"/>
        <n v="93"/>
        <n v="91"/>
        <n v="48"/>
        <n v="18"/>
        <n v="23"/>
        <n v="66"/>
        <n v="3"/>
        <n v="20"/>
        <n v="92"/>
        <n v="94"/>
        <n v="45"/>
      </sharedItems>
    </cacheField>
    <cacheField name="merchant_name" numFmtId="0">
      <sharedItems count="40"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</sharedItems>
    </cacheField>
    <cacheField name="category" numFmtId="0">
      <sharedItems count="7">
        <s v="bill_payment"/>
        <s v="ecommerce"/>
        <s v="travel"/>
        <s v="grocery"/>
        <s v="recharge"/>
        <s v="entertainment"/>
        <s v="food_delivery"/>
      </sharedItems>
    </cacheField>
    <cacheField name="region" numFmtId="0">
      <sharedItems count="4">
        <s v="West"/>
        <s v="North"/>
        <s v="South"/>
        <s v="East"/>
      </sharedItems>
    </cacheField>
    <cacheField name="MDR Fee %" numFmtId="10">
      <sharedItems containsSemiMixedTypes="0" containsString="0" containsNumber="1" minValue="0" maxValue="0.02" count="4">
        <n v="0.01"/>
        <n v="0"/>
        <n v="0.015"/>
        <n v="0.02"/>
      </sharedItems>
    </cacheField>
    <cacheField name="Date" numFmtId="0">
      <sharedItems containsSemiMixedTypes="0" containsString="0" containsNonDate="0" containsDate="1" minDate="2026-01-01T00:00:00" maxDate="2026-01-30T00:00:00" count="30">
        <d v="2026-01-29T00:00:00"/>
        <d v="2026-01-04T00:00:00"/>
        <d v="2026-01-24T00:00:00"/>
        <d v="2026-01-30T00:00:00"/>
        <d v="2026-01-06T00:00:00"/>
        <d v="2026-01-08T00:00:00"/>
        <d v="2026-01-27T00:00:00"/>
        <d v="2026-01-11T00:00:00"/>
        <d v="2026-01-21T00:00:00"/>
        <d v="2026-01-01T00:00:00"/>
        <d v="2026-01-09T00:00:00"/>
        <d v="2026-01-13T00:00:00"/>
        <d v="2026-01-14T00:00:00"/>
        <d v="2026-01-22T00:00:00"/>
        <d v="2026-01-05T00:00:00"/>
        <d v="2026-01-18T00:00:00"/>
        <d v="2026-01-26T00:00:00"/>
        <d v="2026-01-15T00:00:00"/>
        <d v="2026-01-17T00:00:00"/>
        <d v="2026-01-28T00:00:00"/>
        <d v="2026-01-23T00:00:00"/>
        <d v="2026-01-25T00:00:00"/>
        <d v="2026-01-02T00:00:00"/>
        <d v="2026-01-19T00:00:00"/>
        <d v="2026-01-16T00:00:00"/>
        <d v="2026-01-07T00:00:00"/>
        <d v="2026-01-20T00:00:00"/>
        <d v="2026-01-10T00:00:00"/>
        <d v="2026-01-12T00:00:00"/>
        <d v="2026-01-03T00:00:00"/>
      </sharedItems>
    </cacheField>
    <cacheField name="Daily Total _x000a_(Using Sum IFs)" numFmtId="0">
      <sharedItems containsSemiMixedTypes="0" containsString="0" containsNumber="1" containsInteger="1" minValue="49" maxValue="9796" count="54">
        <n v="2999"/>
        <n v="49"/>
        <n v="1798"/>
        <n v="898"/>
        <n v="99"/>
        <n v="799"/>
        <n v="299"/>
        <n v="548"/>
        <n v="198"/>
        <n v="1499"/>
        <n v="4498"/>
        <n v="897"/>
        <n v="1598"/>
        <n v="697"/>
        <n v="2497"/>
        <n v="1098"/>
        <n v="1648"/>
        <n v="98"/>
        <n v="149"/>
        <n v="148"/>
        <n v="4999"/>
        <n v="7998"/>
        <n v="348"/>
        <n v="499"/>
        <n v="1597"/>
        <n v="948"/>
        <n v="3896"/>
        <n v="398"/>
        <n v="1197"/>
        <n v="598"/>
        <n v="1998"/>
        <n v="3148"/>
        <n v="3298"/>
        <n v="497"/>
        <n v="448"/>
        <n v="1298"/>
        <n v="5048"/>
        <n v="5298"/>
        <n v="3797"/>
        <n v="9796"/>
        <n v="1647"/>
        <n v="247"/>
        <n v="1697"/>
        <n v="1548"/>
        <n v="798"/>
        <n v="248"/>
        <n v="648"/>
        <n v="3998"/>
        <n v="5798"/>
        <n v="1847"/>
        <n v="3048"/>
        <n v="1999"/>
        <n v="999"/>
        <n v="399"/>
      </sharedItems>
    </cacheField>
    <cacheField name="Daily Total _x000a_(Using Pivot Table)" numFmtId="0">
      <sharedItems containsSemiMixedTypes="0" containsString="0" containsNumber="1" containsInteger="1" minValue="49" maxValue="9796" count="54">
        <n v="2999"/>
        <n v="49"/>
        <n v="1798"/>
        <n v="898"/>
        <n v="99"/>
        <n v="799"/>
        <n v="299"/>
        <n v="548"/>
        <n v="198"/>
        <n v="1499"/>
        <n v="4498"/>
        <n v="897"/>
        <n v="1598"/>
        <n v="697"/>
        <n v="2497"/>
        <n v="1098"/>
        <n v="1648"/>
        <n v="98"/>
        <n v="149"/>
        <n v="148"/>
        <n v="4999"/>
        <n v="7998"/>
        <n v="348"/>
        <n v="499"/>
        <n v="1597"/>
        <n v="948"/>
        <n v="3896"/>
        <n v="398"/>
        <n v="1197"/>
        <n v="598"/>
        <n v="1998"/>
        <n v="3148"/>
        <n v="3298"/>
        <n v="497"/>
        <n v="448"/>
        <n v="1298"/>
        <n v="5048"/>
        <n v="5298"/>
        <n v="3797"/>
        <n v="9796"/>
        <n v="1647"/>
        <n v="247"/>
        <n v="1697"/>
        <n v="1548"/>
        <n v="798"/>
        <n v="248"/>
        <n v="648"/>
        <n v="3998"/>
        <n v="5798"/>
        <n v="1847"/>
        <n v="3048"/>
        <n v="1999"/>
        <n v="999"/>
        <n v="399"/>
      </sharedItems>
    </cacheField>
    <cacheField name="High Value Flag" numFmtId="0">
      <sharedItems count="2">
        <s v="Standard"/>
        <s v="High-Value Merchant Day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7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  <x v="1"/>
  </r>
  <r>
    <x v="2"/>
    <x v="2"/>
    <x v="2"/>
    <x v="2"/>
    <x v="2"/>
    <x v="0"/>
    <x v="0"/>
    <x v="2"/>
    <x v="2"/>
    <x v="1"/>
    <x v="1"/>
    <x v="0"/>
    <x v="2"/>
  </r>
  <r>
    <x v="3"/>
    <x v="3"/>
    <x v="3"/>
    <x v="3"/>
    <x v="1"/>
    <x v="2"/>
    <x v="0"/>
    <x v="3"/>
    <x v="3"/>
    <x v="2"/>
    <x v="2"/>
    <x v="2"/>
    <x v="0"/>
  </r>
  <r>
    <x v="4"/>
    <x v="4"/>
    <x v="0"/>
    <x v="4"/>
    <x v="3"/>
    <x v="1"/>
    <x v="0"/>
    <x v="4"/>
    <x v="0"/>
    <x v="0"/>
    <x v="0"/>
    <x v="1"/>
    <x v="3"/>
  </r>
  <r>
    <x v="5"/>
    <x v="5"/>
    <x v="4"/>
    <x v="5"/>
    <x v="3"/>
    <x v="1"/>
    <x v="0"/>
    <x v="5"/>
    <x v="4"/>
    <x v="3"/>
    <x v="3"/>
    <x v="1"/>
    <x v="4"/>
  </r>
  <r>
    <x v="6"/>
    <x v="6"/>
    <x v="5"/>
    <x v="6"/>
    <x v="3"/>
    <x v="0"/>
    <x v="0"/>
    <x v="6"/>
    <x v="5"/>
    <x v="2"/>
    <x v="1"/>
    <x v="0"/>
    <x v="5"/>
  </r>
  <r>
    <x v="7"/>
    <x v="7"/>
    <x v="6"/>
    <x v="7"/>
    <x v="3"/>
    <x v="1"/>
    <x v="0"/>
    <x v="7"/>
    <x v="6"/>
    <x v="2"/>
    <x v="3"/>
    <x v="1"/>
    <x v="6"/>
  </r>
  <r>
    <x v="8"/>
    <x v="8"/>
    <x v="7"/>
    <x v="8"/>
    <x v="4"/>
    <x v="1"/>
    <x v="0"/>
    <x v="8"/>
    <x v="7"/>
    <x v="3"/>
    <x v="0"/>
    <x v="1"/>
    <x v="7"/>
  </r>
  <r>
    <x v="9"/>
    <x v="9"/>
    <x v="8"/>
    <x v="9"/>
    <x v="5"/>
    <x v="1"/>
    <x v="0"/>
    <x v="9"/>
    <x v="8"/>
    <x v="4"/>
    <x v="3"/>
    <x v="1"/>
    <x v="8"/>
  </r>
  <r>
    <x v="10"/>
    <x v="10"/>
    <x v="9"/>
    <x v="10"/>
    <x v="1"/>
    <x v="1"/>
    <x v="0"/>
    <x v="10"/>
    <x v="9"/>
    <x v="1"/>
    <x v="3"/>
    <x v="1"/>
    <x v="9"/>
  </r>
  <r>
    <x v="11"/>
    <x v="11"/>
    <x v="10"/>
    <x v="11"/>
    <x v="0"/>
    <x v="3"/>
    <x v="1"/>
    <x v="8"/>
    <x v="10"/>
    <x v="1"/>
    <x v="2"/>
    <x v="3"/>
    <x v="10"/>
  </r>
  <r>
    <x v="12"/>
    <x v="12"/>
    <x v="11"/>
    <x v="12"/>
    <x v="1"/>
    <x v="0"/>
    <x v="0"/>
    <x v="11"/>
    <x v="11"/>
    <x v="0"/>
    <x v="3"/>
    <x v="0"/>
    <x v="2"/>
  </r>
  <r>
    <x v="13"/>
    <x v="13"/>
    <x v="4"/>
    <x v="13"/>
    <x v="1"/>
    <x v="1"/>
    <x v="0"/>
    <x v="12"/>
    <x v="4"/>
    <x v="3"/>
    <x v="3"/>
    <x v="1"/>
    <x v="11"/>
  </r>
  <r>
    <x v="14"/>
    <x v="14"/>
    <x v="6"/>
    <x v="14"/>
    <x v="2"/>
    <x v="1"/>
    <x v="0"/>
    <x v="13"/>
    <x v="6"/>
    <x v="2"/>
    <x v="3"/>
    <x v="1"/>
    <x v="12"/>
  </r>
  <r>
    <x v="15"/>
    <x v="15"/>
    <x v="12"/>
    <x v="15"/>
    <x v="3"/>
    <x v="1"/>
    <x v="0"/>
    <x v="14"/>
    <x v="12"/>
    <x v="5"/>
    <x v="2"/>
    <x v="1"/>
    <x v="12"/>
  </r>
  <r>
    <x v="16"/>
    <x v="16"/>
    <x v="11"/>
    <x v="16"/>
    <x v="3"/>
    <x v="2"/>
    <x v="0"/>
    <x v="6"/>
    <x v="11"/>
    <x v="0"/>
    <x v="3"/>
    <x v="2"/>
    <x v="13"/>
  </r>
  <r>
    <x v="17"/>
    <x v="17"/>
    <x v="13"/>
    <x v="17"/>
    <x v="0"/>
    <x v="3"/>
    <x v="0"/>
    <x v="15"/>
    <x v="13"/>
    <x v="3"/>
    <x v="1"/>
    <x v="3"/>
    <x v="13"/>
  </r>
  <r>
    <x v="18"/>
    <x v="18"/>
    <x v="14"/>
    <x v="18"/>
    <x v="0"/>
    <x v="1"/>
    <x v="0"/>
    <x v="16"/>
    <x v="14"/>
    <x v="2"/>
    <x v="2"/>
    <x v="1"/>
    <x v="14"/>
  </r>
  <r>
    <x v="19"/>
    <x v="19"/>
    <x v="15"/>
    <x v="19"/>
    <x v="1"/>
    <x v="1"/>
    <x v="0"/>
    <x v="7"/>
    <x v="15"/>
    <x v="6"/>
    <x v="3"/>
    <x v="1"/>
    <x v="2"/>
  </r>
  <r>
    <x v="20"/>
    <x v="20"/>
    <x v="16"/>
    <x v="20"/>
    <x v="3"/>
    <x v="3"/>
    <x v="0"/>
    <x v="17"/>
    <x v="16"/>
    <x v="3"/>
    <x v="3"/>
    <x v="3"/>
    <x v="15"/>
  </r>
  <r>
    <x v="21"/>
    <x v="21"/>
    <x v="17"/>
    <x v="21"/>
    <x v="3"/>
    <x v="1"/>
    <x v="0"/>
    <x v="18"/>
    <x v="17"/>
    <x v="6"/>
    <x v="3"/>
    <x v="1"/>
    <x v="16"/>
  </r>
  <r>
    <x v="22"/>
    <x v="22"/>
    <x v="11"/>
    <x v="22"/>
    <x v="4"/>
    <x v="1"/>
    <x v="0"/>
    <x v="5"/>
    <x v="11"/>
    <x v="0"/>
    <x v="3"/>
    <x v="1"/>
    <x v="17"/>
  </r>
  <r>
    <x v="23"/>
    <x v="23"/>
    <x v="18"/>
    <x v="23"/>
    <x v="4"/>
    <x v="1"/>
    <x v="2"/>
    <x v="19"/>
    <x v="18"/>
    <x v="6"/>
    <x v="2"/>
    <x v="1"/>
    <x v="16"/>
  </r>
  <r>
    <x v="24"/>
    <x v="24"/>
    <x v="3"/>
    <x v="24"/>
    <x v="4"/>
    <x v="0"/>
    <x v="0"/>
    <x v="20"/>
    <x v="3"/>
    <x v="2"/>
    <x v="2"/>
    <x v="0"/>
    <x v="18"/>
  </r>
  <r>
    <x v="25"/>
    <x v="25"/>
    <x v="19"/>
    <x v="25"/>
    <x v="4"/>
    <x v="1"/>
    <x v="0"/>
    <x v="21"/>
    <x v="19"/>
    <x v="2"/>
    <x v="1"/>
    <x v="1"/>
    <x v="6"/>
  </r>
  <r>
    <x v="26"/>
    <x v="26"/>
    <x v="20"/>
    <x v="26"/>
    <x v="1"/>
    <x v="3"/>
    <x v="0"/>
    <x v="22"/>
    <x v="20"/>
    <x v="0"/>
    <x v="3"/>
    <x v="3"/>
    <x v="14"/>
  </r>
  <r>
    <x v="27"/>
    <x v="27"/>
    <x v="21"/>
    <x v="27"/>
    <x v="3"/>
    <x v="1"/>
    <x v="0"/>
    <x v="23"/>
    <x v="21"/>
    <x v="5"/>
    <x v="2"/>
    <x v="1"/>
    <x v="19"/>
  </r>
  <r>
    <x v="28"/>
    <x v="28"/>
    <x v="22"/>
    <x v="28"/>
    <x v="3"/>
    <x v="0"/>
    <x v="0"/>
    <x v="24"/>
    <x v="22"/>
    <x v="6"/>
    <x v="3"/>
    <x v="0"/>
    <x v="20"/>
  </r>
  <r>
    <x v="29"/>
    <x v="29"/>
    <x v="23"/>
    <x v="29"/>
    <x v="2"/>
    <x v="1"/>
    <x v="0"/>
    <x v="25"/>
    <x v="23"/>
    <x v="6"/>
    <x v="3"/>
    <x v="1"/>
    <x v="14"/>
  </r>
  <r>
    <x v="30"/>
    <x v="30"/>
    <x v="24"/>
    <x v="30"/>
    <x v="6"/>
    <x v="3"/>
    <x v="0"/>
    <x v="26"/>
    <x v="24"/>
    <x v="2"/>
    <x v="0"/>
    <x v="3"/>
    <x v="12"/>
  </r>
  <r>
    <x v="31"/>
    <x v="31"/>
    <x v="24"/>
    <x v="31"/>
    <x v="4"/>
    <x v="1"/>
    <x v="0"/>
    <x v="27"/>
    <x v="24"/>
    <x v="2"/>
    <x v="0"/>
    <x v="1"/>
    <x v="15"/>
  </r>
  <r>
    <x v="32"/>
    <x v="32"/>
    <x v="25"/>
    <x v="32"/>
    <x v="7"/>
    <x v="1"/>
    <x v="0"/>
    <x v="28"/>
    <x v="25"/>
    <x v="5"/>
    <x v="3"/>
    <x v="1"/>
    <x v="16"/>
  </r>
  <r>
    <x v="33"/>
    <x v="33"/>
    <x v="10"/>
    <x v="33"/>
    <x v="1"/>
    <x v="0"/>
    <x v="0"/>
    <x v="15"/>
    <x v="10"/>
    <x v="1"/>
    <x v="2"/>
    <x v="0"/>
    <x v="7"/>
  </r>
  <r>
    <x v="34"/>
    <x v="34"/>
    <x v="26"/>
    <x v="34"/>
    <x v="5"/>
    <x v="2"/>
    <x v="0"/>
    <x v="29"/>
    <x v="26"/>
    <x v="1"/>
    <x v="1"/>
    <x v="2"/>
    <x v="17"/>
  </r>
  <r>
    <x v="35"/>
    <x v="35"/>
    <x v="7"/>
    <x v="35"/>
    <x v="7"/>
    <x v="3"/>
    <x v="0"/>
    <x v="30"/>
    <x v="7"/>
    <x v="3"/>
    <x v="0"/>
    <x v="3"/>
    <x v="21"/>
  </r>
  <r>
    <x v="36"/>
    <x v="36"/>
    <x v="0"/>
    <x v="36"/>
    <x v="1"/>
    <x v="1"/>
    <x v="0"/>
    <x v="31"/>
    <x v="0"/>
    <x v="0"/>
    <x v="0"/>
    <x v="1"/>
    <x v="21"/>
  </r>
  <r>
    <x v="37"/>
    <x v="20"/>
    <x v="0"/>
    <x v="37"/>
    <x v="0"/>
    <x v="3"/>
    <x v="0"/>
    <x v="4"/>
    <x v="0"/>
    <x v="0"/>
    <x v="0"/>
    <x v="3"/>
    <x v="17"/>
  </r>
  <r>
    <x v="38"/>
    <x v="37"/>
    <x v="18"/>
    <x v="38"/>
    <x v="2"/>
    <x v="3"/>
    <x v="0"/>
    <x v="27"/>
    <x v="18"/>
    <x v="6"/>
    <x v="2"/>
    <x v="3"/>
    <x v="7"/>
  </r>
  <r>
    <x v="39"/>
    <x v="38"/>
    <x v="16"/>
    <x v="39"/>
    <x v="2"/>
    <x v="1"/>
    <x v="0"/>
    <x v="32"/>
    <x v="16"/>
    <x v="3"/>
    <x v="3"/>
    <x v="1"/>
    <x v="14"/>
  </r>
  <r>
    <x v="40"/>
    <x v="39"/>
    <x v="24"/>
    <x v="40"/>
    <x v="2"/>
    <x v="1"/>
    <x v="0"/>
    <x v="33"/>
    <x v="24"/>
    <x v="2"/>
    <x v="0"/>
    <x v="1"/>
    <x v="12"/>
  </r>
  <r>
    <x v="41"/>
    <x v="40"/>
    <x v="14"/>
    <x v="41"/>
    <x v="3"/>
    <x v="1"/>
    <x v="0"/>
    <x v="30"/>
    <x v="14"/>
    <x v="2"/>
    <x v="2"/>
    <x v="1"/>
    <x v="22"/>
  </r>
  <r>
    <x v="42"/>
    <x v="41"/>
    <x v="14"/>
    <x v="42"/>
    <x v="2"/>
    <x v="1"/>
    <x v="0"/>
    <x v="34"/>
    <x v="14"/>
    <x v="2"/>
    <x v="2"/>
    <x v="1"/>
    <x v="23"/>
  </r>
  <r>
    <x v="43"/>
    <x v="42"/>
    <x v="1"/>
    <x v="43"/>
    <x v="7"/>
    <x v="1"/>
    <x v="0"/>
    <x v="35"/>
    <x v="1"/>
    <x v="1"/>
    <x v="1"/>
    <x v="1"/>
    <x v="9"/>
  </r>
  <r>
    <x v="44"/>
    <x v="43"/>
    <x v="19"/>
    <x v="44"/>
    <x v="3"/>
    <x v="2"/>
    <x v="0"/>
    <x v="36"/>
    <x v="19"/>
    <x v="2"/>
    <x v="1"/>
    <x v="2"/>
    <x v="2"/>
  </r>
  <r>
    <x v="45"/>
    <x v="44"/>
    <x v="27"/>
    <x v="45"/>
    <x v="5"/>
    <x v="0"/>
    <x v="0"/>
    <x v="37"/>
    <x v="27"/>
    <x v="3"/>
    <x v="0"/>
    <x v="0"/>
    <x v="5"/>
  </r>
  <r>
    <x v="46"/>
    <x v="45"/>
    <x v="2"/>
    <x v="46"/>
    <x v="8"/>
    <x v="2"/>
    <x v="0"/>
    <x v="18"/>
    <x v="2"/>
    <x v="1"/>
    <x v="1"/>
    <x v="2"/>
    <x v="7"/>
  </r>
  <r>
    <x v="47"/>
    <x v="46"/>
    <x v="27"/>
    <x v="47"/>
    <x v="5"/>
    <x v="1"/>
    <x v="0"/>
    <x v="38"/>
    <x v="27"/>
    <x v="3"/>
    <x v="0"/>
    <x v="1"/>
    <x v="3"/>
  </r>
  <r>
    <x v="48"/>
    <x v="47"/>
    <x v="18"/>
    <x v="48"/>
    <x v="1"/>
    <x v="0"/>
    <x v="0"/>
    <x v="39"/>
    <x v="18"/>
    <x v="6"/>
    <x v="2"/>
    <x v="0"/>
    <x v="23"/>
  </r>
  <r>
    <x v="49"/>
    <x v="48"/>
    <x v="9"/>
    <x v="49"/>
    <x v="1"/>
    <x v="1"/>
    <x v="0"/>
    <x v="26"/>
    <x v="9"/>
    <x v="1"/>
    <x v="3"/>
    <x v="1"/>
    <x v="12"/>
  </r>
  <r>
    <x v="50"/>
    <x v="49"/>
    <x v="24"/>
    <x v="50"/>
    <x v="3"/>
    <x v="1"/>
    <x v="0"/>
    <x v="40"/>
    <x v="24"/>
    <x v="2"/>
    <x v="0"/>
    <x v="1"/>
    <x v="10"/>
  </r>
  <r>
    <x v="51"/>
    <x v="40"/>
    <x v="28"/>
    <x v="51"/>
    <x v="8"/>
    <x v="1"/>
    <x v="0"/>
    <x v="41"/>
    <x v="28"/>
    <x v="3"/>
    <x v="1"/>
    <x v="1"/>
    <x v="7"/>
  </r>
  <r>
    <x v="52"/>
    <x v="37"/>
    <x v="29"/>
    <x v="52"/>
    <x v="4"/>
    <x v="1"/>
    <x v="0"/>
    <x v="8"/>
    <x v="29"/>
    <x v="1"/>
    <x v="3"/>
    <x v="1"/>
    <x v="24"/>
  </r>
  <r>
    <x v="53"/>
    <x v="50"/>
    <x v="4"/>
    <x v="53"/>
    <x v="7"/>
    <x v="0"/>
    <x v="0"/>
    <x v="42"/>
    <x v="4"/>
    <x v="3"/>
    <x v="3"/>
    <x v="0"/>
    <x v="5"/>
  </r>
  <r>
    <x v="54"/>
    <x v="51"/>
    <x v="12"/>
    <x v="54"/>
    <x v="5"/>
    <x v="1"/>
    <x v="0"/>
    <x v="43"/>
    <x v="12"/>
    <x v="5"/>
    <x v="2"/>
    <x v="1"/>
    <x v="9"/>
  </r>
  <r>
    <x v="55"/>
    <x v="4"/>
    <x v="30"/>
    <x v="55"/>
    <x v="3"/>
    <x v="1"/>
    <x v="0"/>
    <x v="44"/>
    <x v="30"/>
    <x v="6"/>
    <x v="1"/>
    <x v="1"/>
    <x v="5"/>
  </r>
  <r>
    <x v="56"/>
    <x v="52"/>
    <x v="31"/>
    <x v="56"/>
    <x v="5"/>
    <x v="0"/>
    <x v="0"/>
    <x v="45"/>
    <x v="31"/>
    <x v="3"/>
    <x v="1"/>
    <x v="0"/>
    <x v="25"/>
  </r>
  <r>
    <x v="57"/>
    <x v="53"/>
    <x v="2"/>
    <x v="57"/>
    <x v="5"/>
    <x v="1"/>
    <x v="0"/>
    <x v="6"/>
    <x v="2"/>
    <x v="1"/>
    <x v="1"/>
    <x v="1"/>
    <x v="26"/>
  </r>
  <r>
    <x v="58"/>
    <x v="54"/>
    <x v="21"/>
    <x v="58"/>
    <x v="1"/>
    <x v="0"/>
    <x v="0"/>
    <x v="16"/>
    <x v="21"/>
    <x v="5"/>
    <x v="2"/>
    <x v="0"/>
    <x v="1"/>
  </r>
  <r>
    <x v="59"/>
    <x v="55"/>
    <x v="32"/>
    <x v="59"/>
    <x v="0"/>
    <x v="1"/>
    <x v="0"/>
    <x v="46"/>
    <x v="32"/>
    <x v="4"/>
    <x v="2"/>
    <x v="1"/>
    <x v="3"/>
  </r>
  <r>
    <x v="60"/>
    <x v="56"/>
    <x v="15"/>
    <x v="60"/>
    <x v="1"/>
    <x v="2"/>
    <x v="0"/>
    <x v="47"/>
    <x v="15"/>
    <x v="6"/>
    <x v="3"/>
    <x v="2"/>
    <x v="20"/>
  </r>
  <r>
    <x v="61"/>
    <x v="57"/>
    <x v="4"/>
    <x v="61"/>
    <x v="3"/>
    <x v="0"/>
    <x v="0"/>
    <x v="8"/>
    <x v="4"/>
    <x v="3"/>
    <x v="3"/>
    <x v="0"/>
    <x v="26"/>
  </r>
  <r>
    <x v="62"/>
    <x v="58"/>
    <x v="32"/>
    <x v="62"/>
    <x v="5"/>
    <x v="1"/>
    <x v="0"/>
    <x v="48"/>
    <x v="32"/>
    <x v="4"/>
    <x v="2"/>
    <x v="1"/>
    <x v="15"/>
  </r>
  <r>
    <x v="63"/>
    <x v="40"/>
    <x v="33"/>
    <x v="63"/>
    <x v="1"/>
    <x v="3"/>
    <x v="0"/>
    <x v="49"/>
    <x v="33"/>
    <x v="6"/>
    <x v="0"/>
    <x v="3"/>
    <x v="8"/>
  </r>
  <r>
    <x v="64"/>
    <x v="6"/>
    <x v="34"/>
    <x v="64"/>
    <x v="6"/>
    <x v="1"/>
    <x v="0"/>
    <x v="17"/>
    <x v="34"/>
    <x v="3"/>
    <x v="0"/>
    <x v="1"/>
    <x v="12"/>
  </r>
  <r>
    <x v="65"/>
    <x v="50"/>
    <x v="7"/>
    <x v="65"/>
    <x v="6"/>
    <x v="3"/>
    <x v="0"/>
    <x v="22"/>
    <x v="7"/>
    <x v="3"/>
    <x v="0"/>
    <x v="3"/>
    <x v="4"/>
  </r>
  <r>
    <x v="66"/>
    <x v="59"/>
    <x v="24"/>
    <x v="66"/>
    <x v="4"/>
    <x v="0"/>
    <x v="0"/>
    <x v="17"/>
    <x v="24"/>
    <x v="2"/>
    <x v="0"/>
    <x v="0"/>
    <x v="16"/>
  </r>
  <r>
    <x v="67"/>
    <x v="60"/>
    <x v="17"/>
    <x v="67"/>
    <x v="1"/>
    <x v="3"/>
    <x v="0"/>
    <x v="24"/>
    <x v="17"/>
    <x v="6"/>
    <x v="3"/>
    <x v="3"/>
    <x v="6"/>
  </r>
  <r>
    <x v="68"/>
    <x v="61"/>
    <x v="0"/>
    <x v="68"/>
    <x v="1"/>
    <x v="1"/>
    <x v="0"/>
    <x v="42"/>
    <x v="0"/>
    <x v="0"/>
    <x v="0"/>
    <x v="1"/>
    <x v="6"/>
  </r>
  <r>
    <x v="69"/>
    <x v="4"/>
    <x v="14"/>
    <x v="69"/>
    <x v="1"/>
    <x v="1"/>
    <x v="0"/>
    <x v="50"/>
    <x v="14"/>
    <x v="2"/>
    <x v="2"/>
    <x v="1"/>
    <x v="17"/>
  </r>
  <r>
    <x v="70"/>
    <x v="62"/>
    <x v="9"/>
    <x v="70"/>
    <x v="6"/>
    <x v="0"/>
    <x v="0"/>
    <x v="36"/>
    <x v="9"/>
    <x v="1"/>
    <x v="3"/>
    <x v="0"/>
    <x v="9"/>
  </r>
  <r>
    <x v="71"/>
    <x v="63"/>
    <x v="3"/>
    <x v="71"/>
    <x v="6"/>
    <x v="1"/>
    <x v="0"/>
    <x v="31"/>
    <x v="3"/>
    <x v="2"/>
    <x v="2"/>
    <x v="1"/>
    <x v="25"/>
  </r>
  <r>
    <x v="72"/>
    <x v="64"/>
    <x v="25"/>
    <x v="72"/>
    <x v="4"/>
    <x v="0"/>
    <x v="0"/>
    <x v="51"/>
    <x v="25"/>
    <x v="5"/>
    <x v="3"/>
    <x v="0"/>
    <x v="0"/>
  </r>
  <r>
    <x v="73"/>
    <x v="65"/>
    <x v="1"/>
    <x v="73"/>
    <x v="6"/>
    <x v="0"/>
    <x v="0"/>
    <x v="36"/>
    <x v="1"/>
    <x v="1"/>
    <x v="1"/>
    <x v="0"/>
    <x v="18"/>
  </r>
  <r>
    <x v="74"/>
    <x v="34"/>
    <x v="33"/>
    <x v="74"/>
    <x v="7"/>
    <x v="1"/>
    <x v="0"/>
    <x v="52"/>
    <x v="33"/>
    <x v="6"/>
    <x v="0"/>
    <x v="1"/>
    <x v="15"/>
  </r>
  <r>
    <x v="75"/>
    <x v="66"/>
    <x v="19"/>
    <x v="75"/>
    <x v="8"/>
    <x v="1"/>
    <x v="0"/>
    <x v="7"/>
    <x v="19"/>
    <x v="2"/>
    <x v="1"/>
    <x v="1"/>
    <x v="16"/>
  </r>
  <r>
    <x v="76"/>
    <x v="67"/>
    <x v="35"/>
    <x v="76"/>
    <x v="6"/>
    <x v="3"/>
    <x v="0"/>
    <x v="53"/>
    <x v="35"/>
    <x v="3"/>
    <x v="3"/>
    <x v="3"/>
    <x v="20"/>
  </r>
  <r>
    <x v="77"/>
    <x v="68"/>
    <x v="10"/>
    <x v="77"/>
    <x v="5"/>
    <x v="1"/>
    <x v="0"/>
    <x v="54"/>
    <x v="10"/>
    <x v="1"/>
    <x v="2"/>
    <x v="1"/>
    <x v="24"/>
  </r>
  <r>
    <x v="78"/>
    <x v="69"/>
    <x v="7"/>
    <x v="78"/>
    <x v="6"/>
    <x v="1"/>
    <x v="0"/>
    <x v="6"/>
    <x v="7"/>
    <x v="3"/>
    <x v="0"/>
    <x v="1"/>
    <x v="15"/>
  </r>
  <r>
    <x v="79"/>
    <x v="70"/>
    <x v="17"/>
    <x v="79"/>
    <x v="6"/>
    <x v="1"/>
    <x v="0"/>
    <x v="55"/>
    <x v="17"/>
    <x v="6"/>
    <x v="3"/>
    <x v="1"/>
    <x v="10"/>
  </r>
  <r>
    <x v="80"/>
    <x v="71"/>
    <x v="6"/>
    <x v="80"/>
    <x v="0"/>
    <x v="2"/>
    <x v="1"/>
    <x v="56"/>
    <x v="6"/>
    <x v="2"/>
    <x v="3"/>
    <x v="2"/>
    <x v="2"/>
  </r>
  <r>
    <x v="81"/>
    <x v="72"/>
    <x v="36"/>
    <x v="81"/>
    <x v="1"/>
    <x v="2"/>
    <x v="0"/>
    <x v="28"/>
    <x v="36"/>
    <x v="2"/>
    <x v="2"/>
    <x v="2"/>
    <x v="2"/>
  </r>
  <r>
    <x v="82"/>
    <x v="73"/>
    <x v="13"/>
    <x v="82"/>
    <x v="0"/>
    <x v="2"/>
    <x v="0"/>
    <x v="57"/>
    <x v="13"/>
    <x v="3"/>
    <x v="1"/>
    <x v="2"/>
    <x v="27"/>
  </r>
  <r>
    <x v="83"/>
    <x v="74"/>
    <x v="8"/>
    <x v="83"/>
    <x v="3"/>
    <x v="1"/>
    <x v="0"/>
    <x v="58"/>
    <x v="8"/>
    <x v="4"/>
    <x v="3"/>
    <x v="1"/>
    <x v="28"/>
  </r>
  <r>
    <x v="84"/>
    <x v="75"/>
    <x v="13"/>
    <x v="84"/>
    <x v="3"/>
    <x v="1"/>
    <x v="0"/>
    <x v="59"/>
    <x v="13"/>
    <x v="3"/>
    <x v="1"/>
    <x v="1"/>
    <x v="10"/>
  </r>
  <r>
    <x v="85"/>
    <x v="76"/>
    <x v="23"/>
    <x v="85"/>
    <x v="0"/>
    <x v="0"/>
    <x v="0"/>
    <x v="51"/>
    <x v="23"/>
    <x v="6"/>
    <x v="3"/>
    <x v="0"/>
    <x v="14"/>
  </r>
  <r>
    <x v="86"/>
    <x v="77"/>
    <x v="26"/>
    <x v="86"/>
    <x v="1"/>
    <x v="0"/>
    <x v="0"/>
    <x v="50"/>
    <x v="26"/>
    <x v="1"/>
    <x v="1"/>
    <x v="0"/>
    <x v="23"/>
  </r>
  <r>
    <x v="87"/>
    <x v="78"/>
    <x v="30"/>
    <x v="87"/>
    <x v="1"/>
    <x v="1"/>
    <x v="2"/>
    <x v="32"/>
    <x v="30"/>
    <x v="6"/>
    <x v="1"/>
    <x v="1"/>
    <x v="4"/>
  </r>
  <r>
    <x v="88"/>
    <x v="79"/>
    <x v="29"/>
    <x v="88"/>
    <x v="4"/>
    <x v="0"/>
    <x v="0"/>
    <x v="43"/>
    <x v="29"/>
    <x v="1"/>
    <x v="3"/>
    <x v="0"/>
    <x v="11"/>
  </r>
  <r>
    <x v="89"/>
    <x v="80"/>
    <x v="0"/>
    <x v="89"/>
    <x v="7"/>
    <x v="1"/>
    <x v="0"/>
    <x v="55"/>
    <x v="0"/>
    <x v="0"/>
    <x v="0"/>
    <x v="1"/>
    <x v="14"/>
  </r>
  <r>
    <x v="90"/>
    <x v="11"/>
    <x v="12"/>
    <x v="90"/>
    <x v="4"/>
    <x v="3"/>
    <x v="0"/>
    <x v="60"/>
    <x v="12"/>
    <x v="5"/>
    <x v="2"/>
    <x v="3"/>
    <x v="15"/>
  </r>
  <r>
    <x v="91"/>
    <x v="61"/>
    <x v="26"/>
    <x v="91"/>
    <x v="5"/>
    <x v="1"/>
    <x v="0"/>
    <x v="61"/>
    <x v="26"/>
    <x v="1"/>
    <x v="1"/>
    <x v="1"/>
    <x v="21"/>
  </r>
  <r>
    <x v="92"/>
    <x v="81"/>
    <x v="21"/>
    <x v="92"/>
    <x v="6"/>
    <x v="0"/>
    <x v="0"/>
    <x v="1"/>
    <x v="21"/>
    <x v="5"/>
    <x v="2"/>
    <x v="0"/>
    <x v="19"/>
  </r>
  <r>
    <x v="93"/>
    <x v="82"/>
    <x v="16"/>
    <x v="93"/>
    <x v="2"/>
    <x v="1"/>
    <x v="0"/>
    <x v="62"/>
    <x v="16"/>
    <x v="3"/>
    <x v="3"/>
    <x v="1"/>
    <x v="22"/>
  </r>
  <r>
    <x v="94"/>
    <x v="83"/>
    <x v="2"/>
    <x v="94"/>
    <x v="1"/>
    <x v="0"/>
    <x v="0"/>
    <x v="63"/>
    <x v="2"/>
    <x v="1"/>
    <x v="1"/>
    <x v="0"/>
    <x v="25"/>
  </r>
  <r>
    <x v="95"/>
    <x v="84"/>
    <x v="37"/>
    <x v="95"/>
    <x v="7"/>
    <x v="1"/>
    <x v="0"/>
    <x v="64"/>
    <x v="37"/>
    <x v="1"/>
    <x v="2"/>
    <x v="1"/>
    <x v="4"/>
  </r>
  <r>
    <x v="96"/>
    <x v="85"/>
    <x v="13"/>
    <x v="96"/>
    <x v="5"/>
    <x v="1"/>
    <x v="0"/>
    <x v="65"/>
    <x v="13"/>
    <x v="3"/>
    <x v="1"/>
    <x v="1"/>
    <x v="17"/>
  </r>
  <r>
    <x v="97"/>
    <x v="86"/>
    <x v="24"/>
    <x v="97"/>
    <x v="4"/>
    <x v="1"/>
    <x v="0"/>
    <x v="66"/>
    <x v="24"/>
    <x v="2"/>
    <x v="0"/>
    <x v="1"/>
    <x v="5"/>
  </r>
  <r>
    <x v="98"/>
    <x v="87"/>
    <x v="35"/>
    <x v="98"/>
    <x v="5"/>
    <x v="3"/>
    <x v="0"/>
    <x v="67"/>
    <x v="35"/>
    <x v="3"/>
    <x v="3"/>
    <x v="3"/>
    <x v="13"/>
  </r>
  <r>
    <x v="99"/>
    <x v="53"/>
    <x v="8"/>
    <x v="99"/>
    <x v="6"/>
    <x v="1"/>
    <x v="0"/>
    <x v="60"/>
    <x v="8"/>
    <x v="4"/>
    <x v="3"/>
    <x v="1"/>
    <x v="16"/>
  </r>
  <r>
    <x v="100"/>
    <x v="88"/>
    <x v="34"/>
    <x v="100"/>
    <x v="5"/>
    <x v="1"/>
    <x v="0"/>
    <x v="66"/>
    <x v="34"/>
    <x v="3"/>
    <x v="0"/>
    <x v="1"/>
    <x v="8"/>
  </r>
  <r>
    <x v="101"/>
    <x v="89"/>
    <x v="38"/>
    <x v="101"/>
    <x v="6"/>
    <x v="2"/>
    <x v="0"/>
    <x v="54"/>
    <x v="38"/>
    <x v="5"/>
    <x v="1"/>
    <x v="2"/>
    <x v="22"/>
  </r>
  <r>
    <x v="102"/>
    <x v="90"/>
    <x v="26"/>
    <x v="102"/>
    <x v="3"/>
    <x v="3"/>
    <x v="0"/>
    <x v="55"/>
    <x v="26"/>
    <x v="1"/>
    <x v="1"/>
    <x v="3"/>
    <x v="6"/>
  </r>
  <r>
    <x v="103"/>
    <x v="17"/>
    <x v="7"/>
    <x v="103"/>
    <x v="7"/>
    <x v="1"/>
    <x v="0"/>
    <x v="48"/>
    <x v="7"/>
    <x v="3"/>
    <x v="0"/>
    <x v="1"/>
    <x v="17"/>
  </r>
  <r>
    <x v="104"/>
    <x v="83"/>
    <x v="38"/>
    <x v="104"/>
    <x v="0"/>
    <x v="3"/>
    <x v="0"/>
    <x v="68"/>
    <x v="38"/>
    <x v="5"/>
    <x v="1"/>
    <x v="3"/>
    <x v="15"/>
  </r>
  <r>
    <x v="105"/>
    <x v="91"/>
    <x v="38"/>
    <x v="105"/>
    <x v="7"/>
    <x v="1"/>
    <x v="0"/>
    <x v="69"/>
    <x v="38"/>
    <x v="5"/>
    <x v="1"/>
    <x v="1"/>
    <x v="0"/>
  </r>
  <r>
    <x v="106"/>
    <x v="92"/>
    <x v="21"/>
    <x v="106"/>
    <x v="3"/>
    <x v="1"/>
    <x v="0"/>
    <x v="46"/>
    <x v="21"/>
    <x v="5"/>
    <x v="2"/>
    <x v="1"/>
    <x v="9"/>
  </r>
  <r>
    <x v="107"/>
    <x v="60"/>
    <x v="21"/>
    <x v="107"/>
    <x v="6"/>
    <x v="1"/>
    <x v="0"/>
    <x v="68"/>
    <x v="21"/>
    <x v="5"/>
    <x v="2"/>
    <x v="1"/>
    <x v="9"/>
  </r>
  <r>
    <x v="108"/>
    <x v="30"/>
    <x v="26"/>
    <x v="108"/>
    <x v="6"/>
    <x v="0"/>
    <x v="1"/>
    <x v="31"/>
    <x v="26"/>
    <x v="1"/>
    <x v="1"/>
    <x v="0"/>
    <x v="21"/>
  </r>
  <r>
    <x v="109"/>
    <x v="93"/>
    <x v="33"/>
    <x v="109"/>
    <x v="7"/>
    <x v="1"/>
    <x v="0"/>
    <x v="20"/>
    <x v="33"/>
    <x v="6"/>
    <x v="0"/>
    <x v="1"/>
    <x v="4"/>
  </r>
  <r>
    <x v="110"/>
    <x v="94"/>
    <x v="17"/>
    <x v="110"/>
    <x v="4"/>
    <x v="1"/>
    <x v="0"/>
    <x v="0"/>
    <x v="17"/>
    <x v="6"/>
    <x v="3"/>
    <x v="1"/>
    <x v="24"/>
  </r>
  <r>
    <x v="111"/>
    <x v="95"/>
    <x v="33"/>
    <x v="111"/>
    <x v="1"/>
    <x v="1"/>
    <x v="0"/>
    <x v="19"/>
    <x v="33"/>
    <x v="6"/>
    <x v="0"/>
    <x v="1"/>
    <x v="1"/>
  </r>
  <r>
    <x v="112"/>
    <x v="96"/>
    <x v="4"/>
    <x v="112"/>
    <x v="6"/>
    <x v="1"/>
    <x v="0"/>
    <x v="70"/>
    <x v="4"/>
    <x v="3"/>
    <x v="3"/>
    <x v="1"/>
    <x v="13"/>
  </r>
  <r>
    <x v="113"/>
    <x v="91"/>
    <x v="30"/>
    <x v="113"/>
    <x v="5"/>
    <x v="1"/>
    <x v="0"/>
    <x v="30"/>
    <x v="30"/>
    <x v="6"/>
    <x v="1"/>
    <x v="1"/>
    <x v="29"/>
  </r>
  <r>
    <x v="114"/>
    <x v="97"/>
    <x v="8"/>
    <x v="114"/>
    <x v="7"/>
    <x v="1"/>
    <x v="0"/>
    <x v="18"/>
    <x v="8"/>
    <x v="4"/>
    <x v="3"/>
    <x v="1"/>
    <x v="11"/>
  </r>
  <r>
    <x v="115"/>
    <x v="30"/>
    <x v="31"/>
    <x v="115"/>
    <x v="6"/>
    <x v="1"/>
    <x v="0"/>
    <x v="1"/>
    <x v="31"/>
    <x v="3"/>
    <x v="1"/>
    <x v="1"/>
    <x v="12"/>
  </r>
  <r>
    <x v="116"/>
    <x v="98"/>
    <x v="29"/>
    <x v="116"/>
    <x v="6"/>
    <x v="1"/>
    <x v="0"/>
    <x v="71"/>
    <x v="29"/>
    <x v="1"/>
    <x v="3"/>
    <x v="1"/>
    <x v="21"/>
  </r>
  <r>
    <x v="117"/>
    <x v="90"/>
    <x v="26"/>
    <x v="117"/>
    <x v="6"/>
    <x v="1"/>
    <x v="0"/>
    <x v="59"/>
    <x v="26"/>
    <x v="1"/>
    <x v="1"/>
    <x v="1"/>
    <x v="10"/>
  </r>
  <r>
    <x v="118"/>
    <x v="99"/>
    <x v="38"/>
    <x v="118"/>
    <x v="6"/>
    <x v="1"/>
    <x v="0"/>
    <x v="63"/>
    <x v="38"/>
    <x v="5"/>
    <x v="1"/>
    <x v="1"/>
    <x v="24"/>
  </r>
  <r>
    <x v="119"/>
    <x v="100"/>
    <x v="37"/>
    <x v="119"/>
    <x v="0"/>
    <x v="0"/>
    <x v="0"/>
    <x v="15"/>
    <x v="37"/>
    <x v="1"/>
    <x v="2"/>
    <x v="0"/>
    <x v="20"/>
  </r>
  <r>
    <x v="120"/>
    <x v="53"/>
    <x v="24"/>
    <x v="120"/>
    <x v="6"/>
    <x v="1"/>
    <x v="0"/>
    <x v="55"/>
    <x v="24"/>
    <x v="2"/>
    <x v="0"/>
    <x v="1"/>
    <x v="12"/>
  </r>
  <r>
    <x v="121"/>
    <x v="101"/>
    <x v="11"/>
    <x v="121"/>
    <x v="0"/>
    <x v="1"/>
    <x v="0"/>
    <x v="12"/>
    <x v="11"/>
    <x v="0"/>
    <x v="3"/>
    <x v="1"/>
    <x v="8"/>
  </r>
  <r>
    <x v="122"/>
    <x v="59"/>
    <x v="20"/>
    <x v="122"/>
    <x v="2"/>
    <x v="1"/>
    <x v="1"/>
    <x v="24"/>
    <x v="20"/>
    <x v="0"/>
    <x v="3"/>
    <x v="1"/>
    <x v="10"/>
  </r>
  <r>
    <x v="123"/>
    <x v="102"/>
    <x v="6"/>
    <x v="123"/>
    <x v="1"/>
    <x v="1"/>
    <x v="0"/>
    <x v="28"/>
    <x v="6"/>
    <x v="2"/>
    <x v="3"/>
    <x v="1"/>
    <x v="17"/>
  </r>
  <r>
    <x v="124"/>
    <x v="103"/>
    <x v="32"/>
    <x v="124"/>
    <x v="6"/>
    <x v="1"/>
    <x v="0"/>
    <x v="31"/>
    <x v="32"/>
    <x v="4"/>
    <x v="2"/>
    <x v="1"/>
    <x v="18"/>
  </r>
  <r>
    <x v="125"/>
    <x v="104"/>
    <x v="7"/>
    <x v="125"/>
    <x v="2"/>
    <x v="1"/>
    <x v="0"/>
    <x v="72"/>
    <x v="7"/>
    <x v="3"/>
    <x v="0"/>
    <x v="1"/>
    <x v="21"/>
  </r>
  <r>
    <x v="126"/>
    <x v="105"/>
    <x v="35"/>
    <x v="126"/>
    <x v="3"/>
    <x v="1"/>
    <x v="0"/>
    <x v="67"/>
    <x v="35"/>
    <x v="3"/>
    <x v="3"/>
    <x v="1"/>
    <x v="27"/>
  </r>
  <r>
    <x v="127"/>
    <x v="14"/>
    <x v="20"/>
    <x v="127"/>
    <x v="6"/>
    <x v="3"/>
    <x v="0"/>
    <x v="8"/>
    <x v="20"/>
    <x v="0"/>
    <x v="3"/>
    <x v="3"/>
    <x v="24"/>
  </r>
  <r>
    <x v="128"/>
    <x v="106"/>
    <x v="14"/>
    <x v="128"/>
    <x v="4"/>
    <x v="1"/>
    <x v="0"/>
    <x v="70"/>
    <x v="14"/>
    <x v="2"/>
    <x v="2"/>
    <x v="1"/>
    <x v="7"/>
  </r>
  <r>
    <x v="129"/>
    <x v="107"/>
    <x v="0"/>
    <x v="129"/>
    <x v="4"/>
    <x v="3"/>
    <x v="0"/>
    <x v="73"/>
    <x v="0"/>
    <x v="0"/>
    <x v="0"/>
    <x v="3"/>
    <x v="3"/>
  </r>
  <r>
    <x v="130"/>
    <x v="95"/>
    <x v="4"/>
    <x v="130"/>
    <x v="7"/>
    <x v="1"/>
    <x v="2"/>
    <x v="14"/>
    <x v="4"/>
    <x v="3"/>
    <x v="3"/>
    <x v="1"/>
    <x v="11"/>
  </r>
  <r>
    <x v="131"/>
    <x v="5"/>
    <x v="14"/>
    <x v="131"/>
    <x v="7"/>
    <x v="2"/>
    <x v="0"/>
    <x v="67"/>
    <x v="14"/>
    <x v="2"/>
    <x v="2"/>
    <x v="2"/>
    <x v="2"/>
  </r>
  <r>
    <x v="132"/>
    <x v="28"/>
    <x v="4"/>
    <x v="132"/>
    <x v="7"/>
    <x v="3"/>
    <x v="0"/>
    <x v="58"/>
    <x v="4"/>
    <x v="3"/>
    <x v="3"/>
    <x v="3"/>
    <x v="16"/>
  </r>
  <r>
    <x v="133"/>
    <x v="108"/>
    <x v="26"/>
    <x v="133"/>
    <x v="1"/>
    <x v="2"/>
    <x v="0"/>
    <x v="74"/>
    <x v="26"/>
    <x v="1"/>
    <x v="1"/>
    <x v="2"/>
    <x v="18"/>
  </r>
  <r>
    <x v="134"/>
    <x v="109"/>
    <x v="1"/>
    <x v="134"/>
    <x v="4"/>
    <x v="1"/>
    <x v="0"/>
    <x v="75"/>
    <x v="1"/>
    <x v="1"/>
    <x v="1"/>
    <x v="1"/>
    <x v="18"/>
  </r>
  <r>
    <x v="135"/>
    <x v="87"/>
    <x v="3"/>
    <x v="135"/>
    <x v="7"/>
    <x v="1"/>
    <x v="0"/>
    <x v="1"/>
    <x v="3"/>
    <x v="2"/>
    <x v="2"/>
    <x v="1"/>
    <x v="14"/>
  </r>
  <r>
    <x v="136"/>
    <x v="83"/>
    <x v="3"/>
    <x v="136"/>
    <x v="1"/>
    <x v="1"/>
    <x v="0"/>
    <x v="16"/>
    <x v="3"/>
    <x v="2"/>
    <x v="2"/>
    <x v="1"/>
    <x v="20"/>
  </r>
  <r>
    <x v="137"/>
    <x v="110"/>
    <x v="33"/>
    <x v="137"/>
    <x v="0"/>
    <x v="0"/>
    <x v="1"/>
    <x v="76"/>
    <x v="33"/>
    <x v="6"/>
    <x v="0"/>
    <x v="0"/>
    <x v="19"/>
  </r>
  <r>
    <x v="138"/>
    <x v="111"/>
    <x v="13"/>
    <x v="138"/>
    <x v="7"/>
    <x v="1"/>
    <x v="0"/>
    <x v="57"/>
    <x v="13"/>
    <x v="3"/>
    <x v="1"/>
    <x v="1"/>
    <x v="22"/>
  </r>
  <r>
    <x v="139"/>
    <x v="82"/>
    <x v="23"/>
    <x v="139"/>
    <x v="6"/>
    <x v="3"/>
    <x v="0"/>
    <x v="77"/>
    <x v="23"/>
    <x v="6"/>
    <x v="3"/>
    <x v="3"/>
    <x v="2"/>
  </r>
  <r>
    <x v="140"/>
    <x v="112"/>
    <x v="4"/>
    <x v="140"/>
    <x v="4"/>
    <x v="1"/>
    <x v="0"/>
    <x v="40"/>
    <x v="4"/>
    <x v="3"/>
    <x v="3"/>
    <x v="1"/>
    <x v="4"/>
  </r>
  <r>
    <x v="141"/>
    <x v="113"/>
    <x v="31"/>
    <x v="141"/>
    <x v="1"/>
    <x v="1"/>
    <x v="0"/>
    <x v="17"/>
    <x v="31"/>
    <x v="3"/>
    <x v="1"/>
    <x v="1"/>
    <x v="16"/>
  </r>
  <r>
    <x v="142"/>
    <x v="95"/>
    <x v="21"/>
    <x v="142"/>
    <x v="2"/>
    <x v="1"/>
    <x v="0"/>
    <x v="47"/>
    <x v="21"/>
    <x v="5"/>
    <x v="2"/>
    <x v="1"/>
    <x v="14"/>
  </r>
  <r>
    <x v="143"/>
    <x v="114"/>
    <x v="18"/>
    <x v="143"/>
    <x v="1"/>
    <x v="3"/>
    <x v="0"/>
    <x v="22"/>
    <x v="18"/>
    <x v="6"/>
    <x v="2"/>
    <x v="3"/>
    <x v="16"/>
  </r>
  <r>
    <x v="144"/>
    <x v="0"/>
    <x v="0"/>
    <x v="144"/>
    <x v="1"/>
    <x v="1"/>
    <x v="0"/>
    <x v="78"/>
    <x v="0"/>
    <x v="0"/>
    <x v="0"/>
    <x v="1"/>
    <x v="19"/>
  </r>
  <r>
    <x v="145"/>
    <x v="115"/>
    <x v="24"/>
    <x v="145"/>
    <x v="1"/>
    <x v="3"/>
    <x v="0"/>
    <x v="79"/>
    <x v="24"/>
    <x v="2"/>
    <x v="0"/>
    <x v="3"/>
    <x v="3"/>
  </r>
  <r>
    <x v="146"/>
    <x v="116"/>
    <x v="37"/>
    <x v="146"/>
    <x v="1"/>
    <x v="1"/>
    <x v="0"/>
    <x v="18"/>
    <x v="37"/>
    <x v="1"/>
    <x v="2"/>
    <x v="1"/>
    <x v="10"/>
  </r>
  <r>
    <x v="147"/>
    <x v="117"/>
    <x v="2"/>
    <x v="147"/>
    <x v="7"/>
    <x v="1"/>
    <x v="2"/>
    <x v="66"/>
    <x v="2"/>
    <x v="1"/>
    <x v="1"/>
    <x v="1"/>
    <x v="0"/>
  </r>
  <r>
    <x v="148"/>
    <x v="16"/>
    <x v="10"/>
    <x v="148"/>
    <x v="0"/>
    <x v="2"/>
    <x v="0"/>
    <x v="80"/>
    <x v="10"/>
    <x v="1"/>
    <x v="2"/>
    <x v="2"/>
    <x v="17"/>
  </r>
  <r>
    <x v="149"/>
    <x v="118"/>
    <x v="6"/>
    <x v="149"/>
    <x v="7"/>
    <x v="1"/>
    <x v="0"/>
    <x v="37"/>
    <x v="6"/>
    <x v="2"/>
    <x v="3"/>
    <x v="1"/>
    <x v="10"/>
  </r>
  <r>
    <x v="150"/>
    <x v="2"/>
    <x v="14"/>
    <x v="150"/>
    <x v="5"/>
    <x v="1"/>
    <x v="0"/>
    <x v="73"/>
    <x v="14"/>
    <x v="2"/>
    <x v="2"/>
    <x v="1"/>
    <x v="19"/>
  </r>
  <r>
    <x v="151"/>
    <x v="119"/>
    <x v="27"/>
    <x v="151"/>
    <x v="1"/>
    <x v="1"/>
    <x v="0"/>
    <x v="67"/>
    <x v="27"/>
    <x v="3"/>
    <x v="0"/>
    <x v="1"/>
    <x v="28"/>
  </r>
  <r>
    <x v="152"/>
    <x v="57"/>
    <x v="29"/>
    <x v="152"/>
    <x v="7"/>
    <x v="1"/>
    <x v="0"/>
    <x v="81"/>
    <x v="29"/>
    <x v="1"/>
    <x v="3"/>
    <x v="1"/>
    <x v="11"/>
  </r>
  <r>
    <x v="153"/>
    <x v="20"/>
    <x v="19"/>
    <x v="153"/>
    <x v="1"/>
    <x v="0"/>
    <x v="0"/>
    <x v="81"/>
    <x v="19"/>
    <x v="2"/>
    <x v="1"/>
    <x v="0"/>
    <x v="2"/>
  </r>
  <r>
    <x v="154"/>
    <x v="93"/>
    <x v="6"/>
    <x v="154"/>
    <x v="5"/>
    <x v="2"/>
    <x v="0"/>
    <x v="1"/>
    <x v="6"/>
    <x v="2"/>
    <x v="3"/>
    <x v="2"/>
    <x v="16"/>
  </r>
  <r>
    <x v="155"/>
    <x v="23"/>
    <x v="39"/>
    <x v="155"/>
    <x v="3"/>
    <x v="3"/>
    <x v="0"/>
    <x v="62"/>
    <x v="39"/>
    <x v="1"/>
    <x v="1"/>
    <x v="3"/>
    <x v="10"/>
  </r>
  <r>
    <x v="156"/>
    <x v="120"/>
    <x v="15"/>
    <x v="156"/>
    <x v="0"/>
    <x v="1"/>
    <x v="0"/>
    <x v="3"/>
    <x v="15"/>
    <x v="6"/>
    <x v="3"/>
    <x v="1"/>
    <x v="1"/>
  </r>
  <r>
    <x v="157"/>
    <x v="121"/>
    <x v="39"/>
    <x v="157"/>
    <x v="1"/>
    <x v="3"/>
    <x v="1"/>
    <x v="20"/>
    <x v="39"/>
    <x v="1"/>
    <x v="1"/>
    <x v="3"/>
    <x v="17"/>
  </r>
  <r>
    <x v="158"/>
    <x v="27"/>
    <x v="9"/>
    <x v="158"/>
    <x v="8"/>
    <x v="1"/>
    <x v="0"/>
    <x v="21"/>
    <x v="9"/>
    <x v="1"/>
    <x v="3"/>
    <x v="1"/>
    <x v="3"/>
  </r>
  <r>
    <x v="159"/>
    <x v="122"/>
    <x v="36"/>
    <x v="159"/>
    <x v="0"/>
    <x v="1"/>
    <x v="0"/>
    <x v="48"/>
    <x v="36"/>
    <x v="2"/>
    <x v="2"/>
    <x v="1"/>
    <x v="14"/>
  </r>
  <r>
    <x v="160"/>
    <x v="123"/>
    <x v="28"/>
    <x v="160"/>
    <x v="6"/>
    <x v="1"/>
    <x v="0"/>
    <x v="34"/>
    <x v="28"/>
    <x v="3"/>
    <x v="1"/>
    <x v="1"/>
    <x v="3"/>
  </r>
  <r>
    <x v="161"/>
    <x v="124"/>
    <x v="30"/>
    <x v="161"/>
    <x v="5"/>
    <x v="2"/>
    <x v="0"/>
    <x v="18"/>
    <x v="30"/>
    <x v="6"/>
    <x v="1"/>
    <x v="2"/>
    <x v="16"/>
  </r>
  <r>
    <x v="162"/>
    <x v="125"/>
    <x v="22"/>
    <x v="162"/>
    <x v="3"/>
    <x v="2"/>
    <x v="0"/>
    <x v="82"/>
    <x v="22"/>
    <x v="6"/>
    <x v="3"/>
    <x v="2"/>
    <x v="29"/>
  </r>
  <r>
    <x v="163"/>
    <x v="126"/>
    <x v="37"/>
    <x v="163"/>
    <x v="7"/>
    <x v="0"/>
    <x v="0"/>
    <x v="29"/>
    <x v="37"/>
    <x v="1"/>
    <x v="2"/>
    <x v="0"/>
    <x v="28"/>
  </r>
  <r>
    <x v="164"/>
    <x v="127"/>
    <x v="28"/>
    <x v="164"/>
    <x v="3"/>
    <x v="1"/>
    <x v="0"/>
    <x v="10"/>
    <x v="28"/>
    <x v="3"/>
    <x v="1"/>
    <x v="1"/>
    <x v="15"/>
  </r>
  <r>
    <x v="165"/>
    <x v="128"/>
    <x v="19"/>
    <x v="165"/>
    <x v="5"/>
    <x v="1"/>
    <x v="0"/>
    <x v="5"/>
    <x v="19"/>
    <x v="2"/>
    <x v="1"/>
    <x v="1"/>
    <x v="11"/>
  </r>
  <r>
    <x v="166"/>
    <x v="129"/>
    <x v="17"/>
    <x v="166"/>
    <x v="8"/>
    <x v="0"/>
    <x v="1"/>
    <x v="22"/>
    <x v="17"/>
    <x v="6"/>
    <x v="3"/>
    <x v="0"/>
    <x v="9"/>
  </r>
  <r>
    <x v="167"/>
    <x v="93"/>
    <x v="24"/>
    <x v="53"/>
    <x v="3"/>
    <x v="3"/>
    <x v="0"/>
    <x v="59"/>
    <x v="24"/>
    <x v="2"/>
    <x v="0"/>
    <x v="3"/>
    <x v="5"/>
  </r>
  <r>
    <x v="168"/>
    <x v="130"/>
    <x v="39"/>
    <x v="167"/>
    <x v="1"/>
    <x v="2"/>
    <x v="0"/>
    <x v="68"/>
    <x v="39"/>
    <x v="1"/>
    <x v="1"/>
    <x v="2"/>
    <x v="27"/>
  </r>
  <r>
    <x v="169"/>
    <x v="130"/>
    <x v="23"/>
    <x v="168"/>
    <x v="0"/>
    <x v="0"/>
    <x v="0"/>
    <x v="63"/>
    <x v="23"/>
    <x v="6"/>
    <x v="3"/>
    <x v="0"/>
    <x v="22"/>
  </r>
  <r>
    <x v="170"/>
    <x v="131"/>
    <x v="24"/>
    <x v="169"/>
    <x v="7"/>
    <x v="2"/>
    <x v="0"/>
    <x v="53"/>
    <x v="24"/>
    <x v="2"/>
    <x v="0"/>
    <x v="2"/>
    <x v="0"/>
  </r>
  <r>
    <x v="171"/>
    <x v="37"/>
    <x v="1"/>
    <x v="170"/>
    <x v="1"/>
    <x v="1"/>
    <x v="0"/>
    <x v="46"/>
    <x v="1"/>
    <x v="1"/>
    <x v="1"/>
    <x v="1"/>
    <x v="13"/>
  </r>
  <r>
    <x v="172"/>
    <x v="27"/>
    <x v="23"/>
    <x v="171"/>
    <x v="4"/>
    <x v="2"/>
    <x v="0"/>
    <x v="36"/>
    <x v="23"/>
    <x v="6"/>
    <x v="3"/>
    <x v="2"/>
    <x v="2"/>
  </r>
  <r>
    <x v="173"/>
    <x v="132"/>
    <x v="31"/>
    <x v="172"/>
    <x v="5"/>
    <x v="1"/>
    <x v="0"/>
    <x v="56"/>
    <x v="31"/>
    <x v="3"/>
    <x v="1"/>
    <x v="1"/>
    <x v="26"/>
  </r>
  <r>
    <x v="174"/>
    <x v="133"/>
    <x v="23"/>
    <x v="173"/>
    <x v="2"/>
    <x v="3"/>
    <x v="1"/>
    <x v="47"/>
    <x v="23"/>
    <x v="6"/>
    <x v="3"/>
    <x v="3"/>
    <x v="17"/>
  </r>
  <r>
    <x v="175"/>
    <x v="134"/>
    <x v="5"/>
    <x v="174"/>
    <x v="7"/>
    <x v="1"/>
    <x v="0"/>
    <x v="83"/>
    <x v="5"/>
    <x v="2"/>
    <x v="1"/>
    <x v="1"/>
    <x v="28"/>
  </r>
  <r>
    <x v="176"/>
    <x v="31"/>
    <x v="24"/>
    <x v="175"/>
    <x v="2"/>
    <x v="3"/>
    <x v="0"/>
    <x v="20"/>
    <x v="24"/>
    <x v="2"/>
    <x v="0"/>
    <x v="3"/>
    <x v="11"/>
  </r>
  <r>
    <x v="177"/>
    <x v="135"/>
    <x v="38"/>
    <x v="176"/>
    <x v="8"/>
    <x v="0"/>
    <x v="2"/>
    <x v="84"/>
    <x v="38"/>
    <x v="5"/>
    <x v="1"/>
    <x v="0"/>
    <x v="13"/>
  </r>
  <r>
    <x v="178"/>
    <x v="136"/>
    <x v="21"/>
    <x v="177"/>
    <x v="0"/>
    <x v="3"/>
    <x v="0"/>
    <x v="71"/>
    <x v="21"/>
    <x v="5"/>
    <x v="2"/>
    <x v="3"/>
    <x v="22"/>
  </r>
  <r>
    <x v="179"/>
    <x v="105"/>
    <x v="16"/>
    <x v="178"/>
    <x v="7"/>
    <x v="1"/>
    <x v="0"/>
    <x v="57"/>
    <x v="16"/>
    <x v="3"/>
    <x v="3"/>
    <x v="1"/>
    <x v="29"/>
  </r>
  <r>
    <x v="180"/>
    <x v="11"/>
    <x v="37"/>
    <x v="179"/>
    <x v="5"/>
    <x v="1"/>
    <x v="1"/>
    <x v="31"/>
    <x v="37"/>
    <x v="1"/>
    <x v="2"/>
    <x v="1"/>
    <x v="7"/>
  </r>
  <r>
    <x v="181"/>
    <x v="37"/>
    <x v="28"/>
    <x v="180"/>
    <x v="5"/>
    <x v="1"/>
    <x v="0"/>
    <x v="2"/>
    <x v="28"/>
    <x v="3"/>
    <x v="1"/>
    <x v="1"/>
    <x v="19"/>
  </r>
  <r>
    <x v="182"/>
    <x v="47"/>
    <x v="39"/>
    <x v="181"/>
    <x v="6"/>
    <x v="1"/>
    <x v="0"/>
    <x v="51"/>
    <x v="39"/>
    <x v="1"/>
    <x v="1"/>
    <x v="1"/>
    <x v="1"/>
  </r>
  <r>
    <x v="183"/>
    <x v="91"/>
    <x v="27"/>
    <x v="182"/>
    <x v="5"/>
    <x v="3"/>
    <x v="0"/>
    <x v="2"/>
    <x v="27"/>
    <x v="3"/>
    <x v="0"/>
    <x v="3"/>
    <x v="28"/>
  </r>
  <r>
    <x v="184"/>
    <x v="40"/>
    <x v="36"/>
    <x v="183"/>
    <x v="5"/>
    <x v="3"/>
    <x v="0"/>
    <x v="11"/>
    <x v="36"/>
    <x v="2"/>
    <x v="2"/>
    <x v="3"/>
    <x v="10"/>
  </r>
  <r>
    <x v="185"/>
    <x v="137"/>
    <x v="31"/>
    <x v="184"/>
    <x v="1"/>
    <x v="1"/>
    <x v="0"/>
    <x v="85"/>
    <x v="31"/>
    <x v="3"/>
    <x v="1"/>
    <x v="1"/>
    <x v="2"/>
  </r>
  <r>
    <x v="186"/>
    <x v="138"/>
    <x v="19"/>
    <x v="185"/>
    <x v="6"/>
    <x v="0"/>
    <x v="0"/>
    <x v="22"/>
    <x v="19"/>
    <x v="2"/>
    <x v="1"/>
    <x v="0"/>
    <x v="23"/>
  </r>
  <r>
    <x v="187"/>
    <x v="23"/>
    <x v="36"/>
    <x v="186"/>
    <x v="1"/>
    <x v="1"/>
    <x v="0"/>
    <x v="61"/>
    <x v="36"/>
    <x v="2"/>
    <x v="2"/>
    <x v="1"/>
    <x v="22"/>
  </r>
  <r>
    <x v="188"/>
    <x v="139"/>
    <x v="20"/>
    <x v="187"/>
    <x v="5"/>
    <x v="1"/>
    <x v="0"/>
    <x v="7"/>
    <x v="20"/>
    <x v="0"/>
    <x v="3"/>
    <x v="1"/>
    <x v="17"/>
  </r>
  <r>
    <x v="189"/>
    <x v="76"/>
    <x v="26"/>
    <x v="188"/>
    <x v="2"/>
    <x v="1"/>
    <x v="0"/>
    <x v="66"/>
    <x v="26"/>
    <x v="1"/>
    <x v="1"/>
    <x v="1"/>
    <x v="12"/>
  </r>
  <r>
    <x v="190"/>
    <x v="140"/>
    <x v="34"/>
    <x v="189"/>
    <x v="4"/>
    <x v="1"/>
    <x v="0"/>
    <x v="32"/>
    <x v="34"/>
    <x v="3"/>
    <x v="0"/>
    <x v="1"/>
    <x v="0"/>
  </r>
  <r>
    <x v="191"/>
    <x v="141"/>
    <x v="35"/>
    <x v="190"/>
    <x v="2"/>
    <x v="2"/>
    <x v="0"/>
    <x v="15"/>
    <x v="35"/>
    <x v="3"/>
    <x v="3"/>
    <x v="2"/>
    <x v="14"/>
  </r>
  <r>
    <x v="192"/>
    <x v="11"/>
    <x v="36"/>
    <x v="191"/>
    <x v="0"/>
    <x v="1"/>
    <x v="0"/>
    <x v="86"/>
    <x v="36"/>
    <x v="2"/>
    <x v="2"/>
    <x v="1"/>
    <x v="20"/>
  </r>
  <r>
    <x v="193"/>
    <x v="142"/>
    <x v="23"/>
    <x v="192"/>
    <x v="7"/>
    <x v="2"/>
    <x v="0"/>
    <x v="59"/>
    <x v="23"/>
    <x v="6"/>
    <x v="3"/>
    <x v="2"/>
    <x v="17"/>
  </r>
  <r>
    <x v="194"/>
    <x v="100"/>
    <x v="16"/>
    <x v="156"/>
    <x v="3"/>
    <x v="0"/>
    <x v="0"/>
    <x v="17"/>
    <x v="16"/>
    <x v="3"/>
    <x v="3"/>
    <x v="0"/>
    <x v="1"/>
  </r>
  <r>
    <x v="195"/>
    <x v="124"/>
    <x v="24"/>
    <x v="193"/>
    <x v="1"/>
    <x v="1"/>
    <x v="0"/>
    <x v="7"/>
    <x v="24"/>
    <x v="2"/>
    <x v="0"/>
    <x v="1"/>
    <x v="17"/>
  </r>
  <r>
    <x v="196"/>
    <x v="143"/>
    <x v="10"/>
    <x v="194"/>
    <x v="1"/>
    <x v="1"/>
    <x v="0"/>
    <x v="14"/>
    <x v="10"/>
    <x v="1"/>
    <x v="2"/>
    <x v="1"/>
    <x v="12"/>
  </r>
  <r>
    <x v="197"/>
    <x v="38"/>
    <x v="20"/>
    <x v="195"/>
    <x v="3"/>
    <x v="1"/>
    <x v="0"/>
    <x v="32"/>
    <x v="20"/>
    <x v="0"/>
    <x v="3"/>
    <x v="1"/>
    <x v="13"/>
  </r>
  <r>
    <x v="198"/>
    <x v="144"/>
    <x v="23"/>
    <x v="196"/>
    <x v="7"/>
    <x v="0"/>
    <x v="0"/>
    <x v="54"/>
    <x v="23"/>
    <x v="6"/>
    <x v="3"/>
    <x v="0"/>
    <x v="29"/>
  </r>
  <r>
    <x v="199"/>
    <x v="145"/>
    <x v="25"/>
    <x v="197"/>
    <x v="3"/>
    <x v="1"/>
    <x v="0"/>
    <x v="83"/>
    <x v="25"/>
    <x v="5"/>
    <x v="3"/>
    <x v="1"/>
    <x v="2"/>
  </r>
  <r>
    <x v="200"/>
    <x v="146"/>
    <x v="30"/>
    <x v="198"/>
    <x v="3"/>
    <x v="1"/>
    <x v="0"/>
    <x v="64"/>
    <x v="30"/>
    <x v="6"/>
    <x v="1"/>
    <x v="1"/>
    <x v="23"/>
  </r>
  <r>
    <x v="201"/>
    <x v="147"/>
    <x v="29"/>
    <x v="199"/>
    <x v="1"/>
    <x v="1"/>
    <x v="0"/>
    <x v="19"/>
    <x v="29"/>
    <x v="1"/>
    <x v="3"/>
    <x v="1"/>
    <x v="28"/>
  </r>
  <r>
    <x v="202"/>
    <x v="148"/>
    <x v="21"/>
    <x v="200"/>
    <x v="7"/>
    <x v="1"/>
    <x v="0"/>
    <x v="48"/>
    <x v="21"/>
    <x v="5"/>
    <x v="2"/>
    <x v="1"/>
    <x v="26"/>
  </r>
  <r>
    <x v="203"/>
    <x v="149"/>
    <x v="19"/>
    <x v="201"/>
    <x v="1"/>
    <x v="3"/>
    <x v="0"/>
    <x v="49"/>
    <x v="19"/>
    <x v="2"/>
    <x v="1"/>
    <x v="3"/>
    <x v="25"/>
  </r>
  <r>
    <x v="204"/>
    <x v="53"/>
    <x v="7"/>
    <x v="202"/>
    <x v="1"/>
    <x v="3"/>
    <x v="0"/>
    <x v="73"/>
    <x v="7"/>
    <x v="3"/>
    <x v="0"/>
    <x v="3"/>
    <x v="28"/>
  </r>
  <r>
    <x v="205"/>
    <x v="129"/>
    <x v="12"/>
    <x v="203"/>
    <x v="1"/>
    <x v="1"/>
    <x v="1"/>
    <x v="22"/>
    <x v="12"/>
    <x v="5"/>
    <x v="2"/>
    <x v="1"/>
    <x v="5"/>
  </r>
  <r>
    <x v="206"/>
    <x v="47"/>
    <x v="38"/>
    <x v="204"/>
    <x v="4"/>
    <x v="1"/>
    <x v="0"/>
    <x v="67"/>
    <x v="38"/>
    <x v="5"/>
    <x v="1"/>
    <x v="1"/>
    <x v="13"/>
  </r>
  <r>
    <x v="207"/>
    <x v="112"/>
    <x v="9"/>
    <x v="205"/>
    <x v="7"/>
    <x v="1"/>
    <x v="0"/>
    <x v="4"/>
    <x v="9"/>
    <x v="1"/>
    <x v="3"/>
    <x v="1"/>
    <x v="6"/>
  </r>
  <r>
    <x v="208"/>
    <x v="124"/>
    <x v="5"/>
    <x v="206"/>
    <x v="7"/>
    <x v="1"/>
    <x v="0"/>
    <x v="72"/>
    <x v="5"/>
    <x v="2"/>
    <x v="1"/>
    <x v="1"/>
    <x v="20"/>
  </r>
  <r>
    <x v="209"/>
    <x v="150"/>
    <x v="22"/>
    <x v="207"/>
    <x v="1"/>
    <x v="1"/>
    <x v="0"/>
    <x v="32"/>
    <x v="22"/>
    <x v="6"/>
    <x v="3"/>
    <x v="1"/>
    <x v="4"/>
  </r>
  <r>
    <x v="210"/>
    <x v="151"/>
    <x v="18"/>
    <x v="208"/>
    <x v="2"/>
    <x v="1"/>
    <x v="0"/>
    <x v="54"/>
    <x v="18"/>
    <x v="6"/>
    <x v="2"/>
    <x v="1"/>
    <x v="14"/>
  </r>
  <r>
    <x v="211"/>
    <x v="152"/>
    <x v="24"/>
    <x v="209"/>
    <x v="1"/>
    <x v="1"/>
    <x v="0"/>
    <x v="50"/>
    <x v="24"/>
    <x v="2"/>
    <x v="0"/>
    <x v="1"/>
    <x v="18"/>
  </r>
  <r>
    <x v="212"/>
    <x v="62"/>
    <x v="21"/>
    <x v="210"/>
    <x v="3"/>
    <x v="1"/>
    <x v="0"/>
    <x v="28"/>
    <x v="21"/>
    <x v="5"/>
    <x v="2"/>
    <x v="1"/>
    <x v="4"/>
  </r>
  <r>
    <x v="213"/>
    <x v="84"/>
    <x v="12"/>
    <x v="211"/>
    <x v="1"/>
    <x v="1"/>
    <x v="0"/>
    <x v="26"/>
    <x v="12"/>
    <x v="5"/>
    <x v="2"/>
    <x v="1"/>
    <x v="29"/>
  </r>
  <r>
    <x v="214"/>
    <x v="98"/>
    <x v="10"/>
    <x v="212"/>
    <x v="3"/>
    <x v="1"/>
    <x v="0"/>
    <x v="36"/>
    <x v="10"/>
    <x v="1"/>
    <x v="2"/>
    <x v="1"/>
    <x v="13"/>
  </r>
  <r>
    <x v="215"/>
    <x v="153"/>
    <x v="16"/>
    <x v="213"/>
    <x v="5"/>
    <x v="0"/>
    <x v="0"/>
    <x v="42"/>
    <x v="16"/>
    <x v="3"/>
    <x v="3"/>
    <x v="0"/>
    <x v="26"/>
  </r>
  <r>
    <x v="216"/>
    <x v="142"/>
    <x v="30"/>
    <x v="214"/>
    <x v="5"/>
    <x v="1"/>
    <x v="0"/>
    <x v="19"/>
    <x v="30"/>
    <x v="6"/>
    <x v="1"/>
    <x v="1"/>
    <x v="18"/>
  </r>
  <r>
    <x v="217"/>
    <x v="154"/>
    <x v="36"/>
    <x v="215"/>
    <x v="5"/>
    <x v="0"/>
    <x v="0"/>
    <x v="0"/>
    <x v="36"/>
    <x v="2"/>
    <x v="2"/>
    <x v="0"/>
    <x v="13"/>
  </r>
  <r>
    <x v="218"/>
    <x v="126"/>
    <x v="38"/>
    <x v="216"/>
    <x v="1"/>
    <x v="1"/>
    <x v="0"/>
    <x v="83"/>
    <x v="38"/>
    <x v="5"/>
    <x v="1"/>
    <x v="1"/>
    <x v="27"/>
  </r>
  <r>
    <x v="219"/>
    <x v="49"/>
    <x v="39"/>
    <x v="217"/>
    <x v="6"/>
    <x v="0"/>
    <x v="0"/>
    <x v="87"/>
    <x v="39"/>
    <x v="1"/>
    <x v="1"/>
    <x v="0"/>
    <x v="9"/>
  </r>
  <r>
    <x v="220"/>
    <x v="155"/>
    <x v="37"/>
    <x v="218"/>
    <x v="8"/>
    <x v="0"/>
    <x v="0"/>
    <x v="78"/>
    <x v="37"/>
    <x v="1"/>
    <x v="2"/>
    <x v="0"/>
    <x v="10"/>
  </r>
  <r>
    <x v="221"/>
    <x v="145"/>
    <x v="14"/>
    <x v="219"/>
    <x v="1"/>
    <x v="1"/>
    <x v="0"/>
    <x v="35"/>
    <x v="14"/>
    <x v="2"/>
    <x v="2"/>
    <x v="1"/>
    <x v="2"/>
  </r>
  <r>
    <x v="222"/>
    <x v="1"/>
    <x v="5"/>
    <x v="220"/>
    <x v="1"/>
    <x v="1"/>
    <x v="0"/>
    <x v="66"/>
    <x v="5"/>
    <x v="2"/>
    <x v="1"/>
    <x v="1"/>
    <x v="20"/>
  </r>
  <r>
    <x v="223"/>
    <x v="156"/>
    <x v="27"/>
    <x v="221"/>
    <x v="1"/>
    <x v="3"/>
    <x v="0"/>
    <x v="70"/>
    <x v="27"/>
    <x v="3"/>
    <x v="0"/>
    <x v="3"/>
    <x v="11"/>
  </r>
  <r>
    <x v="224"/>
    <x v="143"/>
    <x v="21"/>
    <x v="222"/>
    <x v="5"/>
    <x v="1"/>
    <x v="0"/>
    <x v="88"/>
    <x v="21"/>
    <x v="5"/>
    <x v="2"/>
    <x v="1"/>
    <x v="3"/>
  </r>
  <r>
    <x v="225"/>
    <x v="135"/>
    <x v="1"/>
    <x v="223"/>
    <x v="1"/>
    <x v="1"/>
    <x v="2"/>
    <x v="86"/>
    <x v="1"/>
    <x v="1"/>
    <x v="1"/>
    <x v="1"/>
    <x v="23"/>
  </r>
  <r>
    <x v="226"/>
    <x v="62"/>
    <x v="2"/>
    <x v="224"/>
    <x v="2"/>
    <x v="3"/>
    <x v="1"/>
    <x v="1"/>
    <x v="2"/>
    <x v="1"/>
    <x v="1"/>
    <x v="3"/>
    <x v="1"/>
  </r>
  <r>
    <x v="227"/>
    <x v="133"/>
    <x v="18"/>
    <x v="225"/>
    <x v="1"/>
    <x v="0"/>
    <x v="0"/>
    <x v="17"/>
    <x v="18"/>
    <x v="6"/>
    <x v="2"/>
    <x v="0"/>
    <x v="17"/>
  </r>
  <r>
    <x v="228"/>
    <x v="156"/>
    <x v="35"/>
    <x v="226"/>
    <x v="5"/>
    <x v="0"/>
    <x v="1"/>
    <x v="7"/>
    <x v="35"/>
    <x v="3"/>
    <x v="3"/>
    <x v="0"/>
    <x v="19"/>
  </r>
  <r>
    <x v="229"/>
    <x v="25"/>
    <x v="3"/>
    <x v="227"/>
    <x v="4"/>
    <x v="1"/>
    <x v="0"/>
    <x v="60"/>
    <x v="3"/>
    <x v="2"/>
    <x v="2"/>
    <x v="1"/>
    <x v="18"/>
  </r>
  <r>
    <x v="230"/>
    <x v="157"/>
    <x v="30"/>
    <x v="228"/>
    <x v="7"/>
    <x v="1"/>
    <x v="0"/>
    <x v="89"/>
    <x v="30"/>
    <x v="6"/>
    <x v="1"/>
    <x v="1"/>
    <x v="7"/>
  </r>
  <r>
    <x v="231"/>
    <x v="158"/>
    <x v="5"/>
    <x v="229"/>
    <x v="1"/>
    <x v="0"/>
    <x v="0"/>
    <x v="90"/>
    <x v="5"/>
    <x v="2"/>
    <x v="1"/>
    <x v="0"/>
    <x v="18"/>
  </r>
  <r>
    <x v="232"/>
    <x v="159"/>
    <x v="0"/>
    <x v="230"/>
    <x v="5"/>
    <x v="1"/>
    <x v="0"/>
    <x v="49"/>
    <x v="0"/>
    <x v="0"/>
    <x v="0"/>
    <x v="1"/>
    <x v="6"/>
  </r>
  <r>
    <x v="233"/>
    <x v="160"/>
    <x v="38"/>
    <x v="231"/>
    <x v="5"/>
    <x v="1"/>
    <x v="0"/>
    <x v="43"/>
    <x v="38"/>
    <x v="5"/>
    <x v="1"/>
    <x v="1"/>
    <x v="14"/>
  </r>
  <r>
    <x v="234"/>
    <x v="161"/>
    <x v="33"/>
    <x v="232"/>
    <x v="1"/>
    <x v="1"/>
    <x v="0"/>
    <x v="18"/>
    <x v="33"/>
    <x v="6"/>
    <x v="0"/>
    <x v="1"/>
    <x v="21"/>
  </r>
  <r>
    <x v="235"/>
    <x v="162"/>
    <x v="26"/>
    <x v="233"/>
    <x v="3"/>
    <x v="3"/>
    <x v="2"/>
    <x v="47"/>
    <x v="26"/>
    <x v="1"/>
    <x v="1"/>
    <x v="3"/>
    <x v="21"/>
  </r>
  <r>
    <x v="236"/>
    <x v="93"/>
    <x v="12"/>
    <x v="234"/>
    <x v="6"/>
    <x v="3"/>
    <x v="0"/>
    <x v="40"/>
    <x v="12"/>
    <x v="5"/>
    <x v="2"/>
    <x v="3"/>
    <x v="3"/>
  </r>
  <r>
    <x v="237"/>
    <x v="163"/>
    <x v="26"/>
    <x v="235"/>
    <x v="7"/>
    <x v="1"/>
    <x v="0"/>
    <x v="32"/>
    <x v="26"/>
    <x v="1"/>
    <x v="1"/>
    <x v="1"/>
    <x v="19"/>
  </r>
  <r>
    <x v="238"/>
    <x v="164"/>
    <x v="7"/>
    <x v="236"/>
    <x v="0"/>
    <x v="3"/>
    <x v="0"/>
    <x v="46"/>
    <x v="7"/>
    <x v="3"/>
    <x v="0"/>
    <x v="3"/>
    <x v="24"/>
  </r>
  <r>
    <x v="239"/>
    <x v="165"/>
    <x v="15"/>
    <x v="237"/>
    <x v="1"/>
    <x v="0"/>
    <x v="1"/>
    <x v="18"/>
    <x v="15"/>
    <x v="6"/>
    <x v="3"/>
    <x v="0"/>
    <x v="22"/>
  </r>
  <r>
    <x v="240"/>
    <x v="127"/>
    <x v="13"/>
    <x v="238"/>
    <x v="3"/>
    <x v="1"/>
    <x v="1"/>
    <x v="66"/>
    <x v="13"/>
    <x v="3"/>
    <x v="1"/>
    <x v="1"/>
    <x v="17"/>
  </r>
  <r>
    <x v="241"/>
    <x v="166"/>
    <x v="11"/>
    <x v="239"/>
    <x v="5"/>
    <x v="3"/>
    <x v="0"/>
    <x v="37"/>
    <x v="11"/>
    <x v="0"/>
    <x v="3"/>
    <x v="3"/>
    <x v="8"/>
  </r>
  <r>
    <x v="242"/>
    <x v="167"/>
    <x v="26"/>
    <x v="240"/>
    <x v="4"/>
    <x v="1"/>
    <x v="0"/>
    <x v="73"/>
    <x v="26"/>
    <x v="1"/>
    <x v="1"/>
    <x v="1"/>
    <x v="17"/>
  </r>
  <r>
    <x v="243"/>
    <x v="168"/>
    <x v="20"/>
    <x v="241"/>
    <x v="1"/>
    <x v="3"/>
    <x v="0"/>
    <x v="48"/>
    <x v="20"/>
    <x v="0"/>
    <x v="3"/>
    <x v="3"/>
    <x v="8"/>
  </r>
  <r>
    <x v="244"/>
    <x v="56"/>
    <x v="3"/>
    <x v="242"/>
    <x v="5"/>
    <x v="1"/>
    <x v="0"/>
    <x v="91"/>
    <x v="3"/>
    <x v="2"/>
    <x v="2"/>
    <x v="1"/>
    <x v="14"/>
  </r>
  <r>
    <x v="245"/>
    <x v="160"/>
    <x v="4"/>
    <x v="243"/>
    <x v="7"/>
    <x v="3"/>
    <x v="0"/>
    <x v="24"/>
    <x v="4"/>
    <x v="3"/>
    <x v="3"/>
    <x v="3"/>
    <x v="29"/>
  </r>
  <r>
    <x v="246"/>
    <x v="169"/>
    <x v="36"/>
    <x v="244"/>
    <x v="7"/>
    <x v="1"/>
    <x v="0"/>
    <x v="22"/>
    <x v="36"/>
    <x v="2"/>
    <x v="2"/>
    <x v="1"/>
    <x v="20"/>
  </r>
  <r>
    <x v="247"/>
    <x v="86"/>
    <x v="14"/>
    <x v="245"/>
    <x v="4"/>
    <x v="1"/>
    <x v="0"/>
    <x v="64"/>
    <x v="14"/>
    <x v="2"/>
    <x v="2"/>
    <x v="1"/>
    <x v="4"/>
  </r>
  <r>
    <x v="248"/>
    <x v="170"/>
    <x v="29"/>
    <x v="246"/>
    <x v="2"/>
    <x v="1"/>
    <x v="0"/>
    <x v="62"/>
    <x v="29"/>
    <x v="1"/>
    <x v="3"/>
    <x v="1"/>
    <x v="21"/>
  </r>
  <r>
    <x v="249"/>
    <x v="146"/>
    <x v="23"/>
    <x v="247"/>
    <x v="2"/>
    <x v="0"/>
    <x v="0"/>
    <x v="82"/>
    <x v="23"/>
    <x v="6"/>
    <x v="3"/>
    <x v="0"/>
    <x v="8"/>
  </r>
  <r>
    <x v="250"/>
    <x v="171"/>
    <x v="38"/>
    <x v="248"/>
    <x v="0"/>
    <x v="0"/>
    <x v="0"/>
    <x v="43"/>
    <x v="38"/>
    <x v="5"/>
    <x v="1"/>
    <x v="0"/>
    <x v="13"/>
  </r>
  <r>
    <x v="251"/>
    <x v="67"/>
    <x v="34"/>
    <x v="249"/>
    <x v="1"/>
    <x v="3"/>
    <x v="0"/>
    <x v="8"/>
    <x v="34"/>
    <x v="3"/>
    <x v="0"/>
    <x v="3"/>
    <x v="7"/>
  </r>
  <r>
    <x v="252"/>
    <x v="67"/>
    <x v="22"/>
    <x v="250"/>
    <x v="5"/>
    <x v="3"/>
    <x v="0"/>
    <x v="58"/>
    <x v="22"/>
    <x v="6"/>
    <x v="3"/>
    <x v="3"/>
    <x v="27"/>
  </r>
  <r>
    <x v="253"/>
    <x v="25"/>
    <x v="25"/>
    <x v="251"/>
    <x v="1"/>
    <x v="1"/>
    <x v="0"/>
    <x v="92"/>
    <x v="25"/>
    <x v="5"/>
    <x v="3"/>
    <x v="1"/>
    <x v="26"/>
  </r>
  <r>
    <x v="254"/>
    <x v="172"/>
    <x v="36"/>
    <x v="252"/>
    <x v="4"/>
    <x v="1"/>
    <x v="0"/>
    <x v="20"/>
    <x v="36"/>
    <x v="2"/>
    <x v="2"/>
    <x v="1"/>
    <x v="8"/>
  </r>
  <r>
    <x v="255"/>
    <x v="173"/>
    <x v="31"/>
    <x v="253"/>
    <x v="4"/>
    <x v="3"/>
    <x v="0"/>
    <x v="84"/>
    <x v="31"/>
    <x v="3"/>
    <x v="1"/>
    <x v="3"/>
    <x v="8"/>
  </r>
  <r>
    <x v="256"/>
    <x v="22"/>
    <x v="3"/>
    <x v="254"/>
    <x v="4"/>
    <x v="1"/>
    <x v="0"/>
    <x v="30"/>
    <x v="3"/>
    <x v="2"/>
    <x v="2"/>
    <x v="1"/>
    <x v="28"/>
  </r>
  <r>
    <x v="257"/>
    <x v="174"/>
    <x v="34"/>
    <x v="255"/>
    <x v="1"/>
    <x v="1"/>
    <x v="0"/>
    <x v="66"/>
    <x v="34"/>
    <x v="3"/>
    <x v="0"/>
    <x v="1"/>
    <x v="24"/>
  </r>
  <r>
    <x v="258"/>
    <x v="37"/>
    <x v="36"/>
    <x v="256"/>
    <x v="1"/>
    <x v="1"/>
    <x v="0"/>
    <x v="65"/>
    <x v="36"/>
    <x v="2"/>
    <x v="2"/>
    <x v="1"/>
    <x v="27"/>
  </r>
  <r>
    <x v="259"/>
    <x v="175"/>
    <x v="39"/>
    <x v="257"/>
    <x v="6"/>
    <x v="0"/>
    <x v="0"/>
    <x v="28"/>
    <x v="39"/>
    <x v="1"/>
    <x v="1"/>
    <x v="0"/>
    <x v="13"/>
  </r>
  <r>
    <x v="260"/>
    <x v="176"/>
    <x v="12"/>
    <x v="258"/>
    <x v="5"/>
    <x v="1"/>
    <x v="0"/>
    <x v="45"/>
    <x v="12"/>
    <x v="5"/>
    <x v="2"/>
    <x v="1"/>
    <x v="11"/>
  </r>
  <r>
    <x v="261"/>
    <x v="95"/>
    <x v="31"/>
    <x v="259"/>
    <x v="3"/>
    <x v="2"/>
    <x v="0"/>
    <x v="16"/>
    <x v="31"/>
    <x v="3"/>
    <x v="1"/>
    <x v="2"/>
    <x v="2"/>
  </r>
  <r>
    <x v="262"/>
    <x v="177"/>
    <x v="13"/>
    <x v="260"/>
    <x v="7"/>
    <x v="1"/>
    <x v="0"/>
    <x v="42"/>
    <x v="13"/>
    <x v="3"/>
    <x v="1"/>
    <x v="1"/>
    <x v="2"/>
  </r>
  <r>
    <x v="263"/>
    <x v="46"/>
    <x v="0"/>
    <x v="261"/>
    <x v="1"/>
    <x v="0"/>
    <x v="1"/>
    <x v="6"/>
    <x v="0"/>
    <x v="0"/>
    <x v="0"/>
    <x v="0"/>
    <x v="2"/>
  </r>
  <r>
    <x v="264"/>
    <x v="73"/>
    <x v="31"/>
    <x v="262"/>
    <x v="5"/>
    <x v="1"/>
    <x v="0"/>
    <x v="16"/>
    <x v="31"/>
    <x v="3"/>
    <x v="1"/>
    <x v="1"/>
    <x v="16"/>
  </r>
  <r>
    <x v="265"/>
    <x v="86"/>
    <x v="14"/>
    <x v="263"/>
    <x v="0"/>
    <x v="0"/>
    <x v="0"/>
    <x v="48"/>
    <x v="14"/>
    <x v="2"/>
    <x v="2"/>
    <x v="0"/>
    <x v="23"/>
  </r>
  <r>
    <x v="266"/>
    <x v="178"/>
    <x v="38"/>
    <x v="264"/>
    <x v="0"/>
    <x v="0"/>
    <x v="0"/>
    <x v="27"/>
    <x v="38"/>
    <x v="5"/>
    <x v="1"/>
    <x v="0"/>
    <x v="18"/>
  </r>
  <r>
    <x v="267"/>
    <x v="179"/>
    <x v="20"/>
    <x v="265"/>
    <x v="5"/>
    <x v="0"/>
    <x v="0"/>
    <x v="53"/>
    <x v="20"/>
    <x v="0"/>
    <x v="3"/>
    <x v="0"/>
    <x v="19"/>
  </r>
  <r>
    <x v="268"/>
    <x v="180"/>
    <x v="30"/>
    <x v="266"/>
    <x v="6"/>
    <x v="2"/>
    <x v="0"/>
    <x v="19"/>
    <x v="30"/>
    <x v="6"/>
    <x v="1"/>
    <x v="2"/>
    <x v="15"/>
  </r>
  <r>
    <x v="269"/>
    <x v="61"/>
    <x v="11"/>
    <x v="267"/>
    <x v="7"/>
    <x v="1"/>
    <x v="1"/>
    <x v="93"/>
    <x v="11"/>
    <x v="0"/>
    <x v="3"/>
    <x v="1"/>
    <x v="29"/>
  </r>
  <r>
    <x v="270"/>
    <x v="181"/>
    <x v="26"/>
    <x v="268"/>
    <x v="4"/>
    <x v="1"/>
    <x v="2"/>
    <x v="8"/>
    <x v="26"/>
    <x v="1"/>
    <x v="1"/>
    <x v="1"/>
    <x v="6"/>
  </r>
  <r>
    <x v="271"/>
    <x v="182"/>
    <x v="22"/>
    <x v="269"/>
    <x v="2"/>
    <x v="1"/>
    <x v="1"/>
    <x v="48"/>
    <x v="22"/>
    <x v="6"/>
    <x v="3"/>
    <x v="1"/>
    <x v="3"/>
  </r>
  <r>
    <x v="272"/>
    <x v="83"/>
    <x v="31"/>
    <x v="270"/>
    <x v="7"/>
    <x v="1"/>
    <x v="0"/>
    <x v="60"/>
    <x v="31"/>
    <x v="3"/>
    <x v="1"/>
    <x v="1"/>
    <x v="28"/>
  </r>
  <r>
    <x v="273"/>
    <x v="82"/>
    <x v="3"/>
    <x v="271"/>
    <x v="4"/>
    <x v="1"/>
    <x v="0"/>
    <x v="93"/>
    <x v="3"/>
    <x v="2"/>
    <x v="2"/>
    <x v="1"/>
    <x v="9"/>
  </r>
  <r>
    <x v="274"/>
    <x v="183"/>
    <x v="39"/>
    <x v="272"/>
    <x v="7"/>
    <x v="1"/>
    <x v="0"/>
    <x v="87"/>
    <x v="39"/>
    <x v="1"/>
    <x v="1"/>
    <x v="1"/>
    <x v="14"/>
  </r>
  <r>
    <x v="275"/>
    <x v="184"/>
    <x v="37"/>
    <x v="273"/>
    <x v="7"/>
    <x v="1"/>
    <x v="0"/>
    <x v="41"/>
    <x v="37"/>
    <x v="1"/>
    <x v="2"/>
    <x v="1"/>
    <x v="20"/>
  </r>
  <r>
    <x v="276"/>
    <x v="185"/>
    <x v="25"/>
    <x v="274"/>
    <x v="7"/>
    <x v="1"/>
    <x v="0"/>
    <x v="90"/>
    <x v="25"/>
    <x v="5"/>
    <x v="3"/>
    <x v="1"/>
    <x v="9"/>
  </r>
  <r>
    <x v="277"/>
    <x v="186"/>
    <x v="13"/>
    <x v="275"/>
    <x v="1"/>
    <x v="1"/>
    <x v="0"/>
    <x v="63"/>
    <x v="13"/>
    <x v="3"/>
    <x v="1"/>
    <x v="1"/>
    <x v="26"/>
  </r>
  <r>
    <x v="278"/>
    <x v="187"/>
    <x v="1"/>
    <x v="276"/>
    <x v="7"/>
    <x v="2"/>
    <x v="0"/>
    <x v="79"/>
    <x v="1"/>
    <x v="1"/>
    <x v="1"/>
    <x v="2"/>
    <x v="27"/>
  </r>
  <r>
    <x v="279"/>
    <x v="188"/>
    <x v="30"/>
    <x v="277"/>
    <x v="5"/>
    <x v="0"/>
    <x v="0"/>
    <x v="78"/>
    <x v="30"/>
    <x v="6"/>
    <x v="1"/>
    <x v="0"/>
    <x v="16"/>
  </r>
  <r>
    <x v="280"/>
    <x v="189"/>
    <x v="11"/>
    <x v="278"/>
    <x v="6"/>
    <x v="1"/>
    <x v="0"/>
    <x v="73"/>
    <x v="11"/>
    <x v="0"/>
    <x v="3"/>
    <x v="1"/>
    <x v="26"/>
  </r>
  <r>
    <x v="281"/>
    <x v="101"/>
    <x v="10"/>
    <x v="279"/>
    <x v="1"/>
    <x v="1"/>
    <x v="1"/>
    <x v="72"/>
    <x v="10"/>
    <x v="1"/>
    <x v="2"/>
    <x v="1"/>
    <x v="5"/>
  </r>
  <r>
    <x v="282"/>
    <x v="190"/>
    <x v="1"/>
    <x v="280"/>
    <x v="8"/>
    <x v="1"/>
    <x v="0"/>
    <x v="94"/>
    <x v="1"/>
    <x v="1"/>
    <x v="1"/>
    <x v="1"/>
    <x v="26"/>
  </r>
  <r>
    <x v="283"/>
    <x v="169"/>
    <x v="31"/>
    <x v="281"/>
    <x v="1"/>
    <x v="0"/>
    <x v="0"/>
    <x v="32"/>
    <x v="31"/>
    <x v="3"/>
    <x v="1"/>
    <x v="0"/>
    <x v="13"/>
  </r>
  <r>
    <x v="284"/>
    <x v="104"/>
    <x v="25"/>
    <x v="282"/>
    <x v="2"/>
    <x v="1"/>
    <x v="0"/>
    <x v="84"/>
    <x v="25"/>
    <x v="5"/>
    <x v="3"/>
    <x v="1"/>
    <x v="18"/>
  </r>
  <r>
    <x v="285"/>
    <x v="93"/>
    <x v="14"/>
    <x v="283"/>
    <x v="1"/>
    <x v="1"/>
    <x v="0"/>
    <x v="53"/>
    <x v="14"/>
    <x v="2"/>
    <x v="2"/>
    <x v="1"/>
    <x v="11"/>
  </r>
  <r>
    <x v="286"/>
    <x v="191"/>
    <x v="32"/>
    <x v="284"/>
    <x v="1"/>
    <x v="3"/>
    <x v="0"/>
    <x v="8"/>
    <x v="32"/>
    <x v="4"/>
    <x v="2"/>
    <x v="3"/>
    <x v="10"/>
  </r>
  <r>
    <x v="287"/>
    <x v="192"/>
    <x v="23"/>
    <x v="285"/>
    <x v="5"/>
    <x v="1"/>
    <x v="0"/>
    <x v="30"/>
    <x v="23"/>
    <x v="6"/>
    <x v="3"/>
    <x v="1"/>
    <x v="5"/>
  </r>
  <r>
    <x v="288"/>
    <x v="94"/>
    <x v="39"/>
    <x v="286"/>
    <x v="5"/>
    <x v="1"/>
    <x v="0"/>
    <x v="68"/>
    <x v="39"/>
    <x v="1"/>
    <x v="1"/>
    <x v="1"/>
    <x v="23"/>
  </r>
  <r>
    <x v="289"/>
    <x v="193"/>
    <x v="9"/>
    <x v="287"/>
    <x v="2"/>
    <x v="2"/>
    <x v="0"/>
    <x v="25"/>
    <x v="9"/>
    <x v="1"/>
    <x v="3"/>
    <x v="2"/>
    <x v="28"/>
  </r>
  <r>
    <x v="290"/>
    <x v="77"/>
    <x v="9"/>
    <x v="288"/>
    <x v="3"/>
    <x v="0"/>
    <x v="0"/>
    <x v="27"/>
    <x v="9"/>
    <x v="1"/>
    <x v="3"/>
    <x v="0"/>
    <x v="13"/>
  </r>
  <r>
    <x v="291"/>
    <x v="194"/>
    <x v="4"/>
    <x v="289"/>
    <x v="1"/>
    <x v="1"/>
    <x v="0"/>
    <x v="86"/>
    <x v="4"/>
    <x v="3"/>
    <x v="3"/>
    <x v="1"/>
    <x v="29"/>
  </r>
  <r>
    <x v="292"/>
    <x v="178"/>
    <x v="4"/>
    <x v="290"/>
    <x v="6"/>
    <x v="1"/>
    <x v="0"/>
    <x v="14"/>
    <x v="4"/>
    <x v="3"/>
    <x v="3"/>
    <x v="1"/>
    <x v="25"/>
  </r>
  <r>
    <x v="293"/>
    <x v="195"/>
    <x v="8"/>
    <x v="291"/>
    <x v="3"/>
    <x v="0"/>
    <x v="0"/>
    <x v="5"/>
    <x v="8"/>
    <x v="4"/>
    <x v="3"/>
    <x v="0"/>
    <x v="3"/>
  </r>
  <r>
    <x v="294"/>
    <x v="196"/>
    <x v="6"/>
    <x v="292"/>
    <x v="1"/>
    <x v="3"/>
    <x v="0"/>
    <x v="19"/>
    <x v="6"/>
    <x v="2"/>
    <x v="3"/>
    <x v="3"/>
    <x v="10"/>
  </r>
  <r>
    <x v="295"/>
    <x v="21"/>
    <x v="3"/>
    <x v="293"/>
    <x v="6"/>
    <x v="1"/>
    <x v="0"/>
    <x v="4"/>
    <x v="3"/>
    <x v="2"/>
    <x v="2"/>
    <x v="1"/>
    <x v="28"/>
  </r>
  <r>
    <x v="296"/>
    <x v="197"/>
    <x v="26"/>
    <x v="294"/>
    <x v="3"/>
    <x v="0"/>
    <x v="0"/>
    <x v="37"/>
    <x v="26"/>
    <x v="1"/>
    <x v="1"/>
    <x v="0"/>
    <x v="1"/>
  </r>
  <r>
    <x v="297"/>
    <x v="198"/>
    <x v="31"/>
    <x v="295"/>
    <x v="4"/>
    <x v="1"/>
    <x v="0"/>
    <x v="95"/>
    <x v="31"/>
    <x v="3"/>
    <x v="1"/>
    <x v="1"/>
    <x v="7"/>
  </r>
  <r>
    <x v="298"/>
    <x v="199"/>
    <x v="18"/>
    <x v="296"/>
    <x v="3"/>
    <x v="1"/>
    <x v="0"/>
    <x v="17"/>
    <x v="18"/>
    <x v="6"/>
    <x v="2"/>
    <x v="1"/>
    <x v="10"/>
  </r>
  <r>
    <x v="299"/>
    <x v="66"/>
    <x v="17"/>
    <x v="297"/>
    <x v="1"/>
    <x v="1"/>
    <x v="0"/>
    <x v="49"/>
    <x v="17"/>
    <x v="6"/>
    <x v="3"/>
    <x v="1"/>
    <x v="26"/>
  </r>
  <r>
    <x v="300"/>
    <x v="119"/>
    <x v="15"/>
    <x v="298"/>
    <x v="1"/>
    <x v="1"/>
    <x v="0"/>
    <x v="52"/>
    <x v="15"/>
    <x v="6"/>
    <x v="3"/>
    <x v="1"/>
    <x v="29"/>
  </r>
  <r>
    <x v="301"/>
    <x v="200"/>
    <x v="26"/>
    <x v="299"/>
    <x v="7"/>
    <x v="3"/>
    <x v="0"/>
    <x v="8"/>
    <x v="26"/>
    <x v="1"/>
    <x v="1"/>
    <x v="3"/>
    <x v="26"/>
  </r>
  <r>
    <x v="302"/>
    <x v="201"/>
    <x v="12"/>
    <x v="300"/>
    <x v="7"/>
    <x v="1"/>
    <x v="0"/>
    <x v="17"/>
    <x v="12"/>
    <x v="5"/>
    <x v="2"/>
    <x v="1"/>
    <x v="17"/>
  </r>
  <r>
    <x v="303"/>
    <x v="202"/>
    <x v="32"/>
    <x v="301"/>
    <x v="5"/>
    <x v="1"/>
    <x v="0"/>
    <x v="0"/>
    <x v="32"/>
    <x v="4"/>
    <x v="2"/>
    <x v="1"/>
    <x v="10"/>
  </r>
  <r>
    <x v="304"/>
    <x v="203"/>
    <x v="2"/>
    <x v="302"/>
    <x v="7"/>
    <x v="0"/>
    <x v="0"/>
    <x v="96"/>
    <x v="2"/>
    <x v="1"/>
    <x v="1"/>
    <x v="0"/>
    <x v="8"/>
  </r>
  <r>
    <x v="305"/>
    <x v="204"/>
    <x v="4"/>
    <x v="303"/>
    <x v="3"/>
    <x v="2"/>
    <x v="0"/>
    <x v="58"/>
    <x v="4"/>
    <x v="3"/>
    <x v="3"/>
    <x v="2"/>
    <x v="14"/>
  </r>
  <r>
    <x v="306"/>
    <x v="134"/>
    <x v="31"/>
    <x v="304"/>
    <x v="1"/>
    <x v="3"/>
    <x v="0"/>
    <x v="13"/>
    <x v="31"/>
    <x v="3"/>
    <x v="1"/>
    <x v="3"/>
    <x v="29"/>
  </r>
  <r>
    <x v="307"/>
    <x v="168"/>
    <x v="34"/>
    <x v="305"/>
    <x v="2"/>
    <x v="3"/>
    <x v="0"/>
    <x v="16"/>
    <x v="34"/>
    <x v="3"/>
    <x v="0"/>
    <x v="3"/>
    <x v="11"/>
  </r>
  <r>
    <x v="308"/>
    <x v="205"/>
    <x v="32"/>
    <x v="306"/>
    <x v="1"/>
    <x v="1"/>
    <x v="0"/>
    <x v="73"/>
    <x v="32"/>
    <x v="4"/>
    <x v="2"/>
    <x v="1"/>
    <x v="17"/>
  </r>
  <r>
    <x v="309"/>
    <x v="195"/>
    <x v="17"/>
    <x v="307"/>
    <x v="6"/>
    <x v="1"/>
    <x v="0"/>
    <x v="75"/>
    <x v="17"/>
    <x v="6"/>
    <x v="3"/>
    <x v="1"/>
    <x v="14"/>
  </r>
  <r>
    <x v="310"/>
    <x v="47"/>
    <x v="9"/>
    <x v="79"/>
    <x v="4"/>
    <x v="2"/>
    <x v="0"/>
    <x v="78"/>
    <x v="9"/>
    <x v="1"/>
    <x v="3"/>
    <x v="2"/>
    <x v="10"/>
  </r>
  <r>
    <x v="311"/>
    <x v="129"/>
    <x v="30"/>
    <x v="308"/>
    <x v="1"/>
    <x v="1"/>
    <x v="0"/>
    <x v="29"/>
    <x v="30"/>
    <x v="6"/>
    <x v="1"/>
    <x v="1"/>
    <x v="18"/>
  </r>
  <r>
    <x v="312"/>
    <x v="206"/>
    <x v="16"/>
    <x v="309"/>
    <x v="2"/>
    <x v="1"/>
    <x v="0"/>
    <x v="22"/>
    <x v="16"/>
    <x v="3"/>
    <x v="3"/>
    <x v="1"/>
    <x v="21"/>
  </r>
  <r>
    <x v="313"/>
    <x v="76"/>
    <x v="6"/>
    <x v="310"/>
    <x v="3"/>
    <x v="0"/>
    <x v="0"/>
    <x v="55"/>
    <x v="6"/>
    <x v="2"/>
    <x v="3"/>
    <x v="0"/>
    <x v="27"/>
  </r>
  <r>
    <x v="314"/>
    <x v="160"/>
    <x v="26"/>
    <x v="311"/>
    <x v="4"/>
    <x v="1"/>
    <x v="0"/>
    <x v="20"/>
    <x v="26"/>
    <x v="1"/>
    <x v="1"/>
    <x v="1"/>
    <x v="14"/>
  </r>
  <r>
    <x v="315"/>
    <x v="207"/>
    <x v="5"/>
    <x v="312"/>
    <x v="1"/>
    <x v="2"/>
    <x v="0"/>
    <x v="12"/>
    <x v="5"/>
    <x v="2"/>
    <x v="1"/>
    <x v="2"/>
    <x v="16"/>
  </r>
  <r>
    <x v="316"/>
    <x v="208"/>
    <x v="15"/>
    <x v="313"/>
    <x v="5"/>
    <x v="0"/>
    <x v="0"/>
    <x v="97"/>
    <x v="15"/>
    <x v="6"/>
    <x v="3"/>
    <x v="0"/>
    <x v="29"/>
  </r>
  <r>
    <x v="317"/>
    <x v="35"/>
    <x v="9"/>
    <x v="314"/>
    <x v="1"/>
    <x v="2"/>
    <x v="0"/>
    <x v="13"/>
    <x v="9"/>
    <x v="1"/>
    <x v="3"/>
    <x v="2"/>
    <x v="20"/>
  </r>
  <r>
    <x v="318"/>
    <x v="178"/>
    <x v="39"/>
    <x v="315"/>
    <x v="7"/>
    <x v="1"/>
    <x v="0"/>
    <x v="63"/>
    <x v="39"/>
    <x v="1"/>
    <x v="1"/>
    <x v="1"/>
    <x v="18"/>
  </r>
  <r>
    <x v="319"/>
    <x v="209"/>
    <x v="25"/>
    <x v="316"/>
    <x v="1"/>
    <x v="0"/>
    <x v="0"/>
    <x v="73"/>
    <x v="25"/>
    <x v="5"/>
    <x v="3"/>
    <x v="0"/>
    <x v="16"/>
  </r>
  <r>
    <x v="320"/>
    <x v="100"/>
    <x v="39"/>
    <x v="317"/>
    <x v="5"/>
    <x v="1"/>
    <x v="0"/>
    <x v="22"/>
    <x v="39"/>
    <x v="1"/>
    <x v="1"/>
    <x v="1"/>
    <x v="28"/>
  </r>
  <r>
    <x v="321"/>
    <x v="25"/>
    <x v="22"/>
    <x v="318"/>
    <x v="3"/>
    <x v="1"/>
    <x v="0"/>
    <x v="91"/>
    <x v="22"/>
    <x v="6"/>
    <x v="3"/>
    <x v="1"/>
    <x v="0"/>
  </r>
  <r>
    <x v="322"/>
    <x v="95"/>
    <x v="1"/>
    <x v="319"/>
    <x v="3"/>
    <x v="0"/>
    <x v="0"/>
    <x v="73"/>
    <x v="1"/>
    <x v="1"/>
    <x v="1"/>
    <x v="0"/>
    <x v="2"/>
  </r>
  <r>
    <x v="323"/>
    <x v="179"/>
    <x v="32"/>
    <x v="320"/>
    <x v="6"/>
    <x v="2"/>
    <x v="0"/>
    <x v="52"/>
    <x v="32"/>
    <x v="4"/>
    <x v="2"/>
    <x v="2"/>
    <x v="29"/>
  </r>
  <r>
    <x v="324"/>
    <x v="68"/>
    <x v="39"/>
    <x v="321"/>
    <x v="3"/>
    <x v="1"/>
    <x v="0"/>
    <x v="25"/>
    <x v="39"/>
    <x v="1"/>
    <x v="1"/>
    <x v="1"/>
    <x v="17"/>
  </r>
  <r>
    <x v="325"/>
    <x v="210"/>
    <x v="39"/>
    <x v="322"/>
    <x v="5"/>
    <x v="1"/>
    <x v="0"/>
    <x v="17"/>
    <x v="39"/>
    <x v="1"/>
    <x v="1"/>
    <x v="1"/>
    <x v="15"/>
  </r>
  <r>
    <x v="326"/>
    <x v="211"/>
    <x v="36"/>
    <x v="323"/>
    <x v="5"/>
    <x v="1"/>
    <x v="0"/>
    <x v="43"/>
    <x v="36"/>
    <x v="2"/>
    <x v="2"/>
    <x v="1"/>
    <x v="18"/>
  </r>
  <r>
    <x v="327"/>
    <x v="91"/>
    <x v="19"/>
    <x v="324"/>
    <x v="1"/>
    <x v="1"/>
    <x v="0"/>
    <x v="8"/>
    <x v="19"/>
    <x v="2"/>
    <x v="1"/>
    <x v="1"/>
    <x v="27"/>
  </r>
  <r>
    <x v="328"/>
    <x v="212"/>
    <x v="28"/>
    <x v="325"/>
    <x v="5"/>
    <x v="0"/>
    <x v="0"/>
    <x v="21"/>
    <x v="28"/>
    <x v="3"/>
    <x v="1"/>
    <x v="0"/>
    <x v="18"/>
  </r>
  <r>
    <x v="329"/>
    <x v="136"/>
    <x v="15"/>
    <x v="326"/>
    <x v="3"/>
    <x v="3"/>
    <x v="0"/>
    <x v="22"/>
    <x v="15"/>
    <x v="6"/>
    <x v="3"/>
    <x v="3"/>
    <x v="8"/>
  </r>
  <r>
    <x v="330"/>
    <x v="179"/>
    <x v="2"/>
    <x v="327"/>
    <x v="6"/>
    <x v="1"/>
    <x v="0"/>
    <x v="46"/>
    <x v="2"/>
    <x v="1"/>
    <x v="1"/>
    <x v="1"/>
    <x v="15"/>
  </r>
  <r>
    <x v="331"/>
    <x v="23"/>
    <x v="12"/>
    <x v="328"/>
    <x v="7"/>
    <x v="1"/>
    <x v="0"/>
    <x v="98"/>
    <x v="12"/>
    <x v="5"/>
    <x v="2"/>
    <x v="1"/>
    <x v="23"/>
  </r>
  <r>
    <x v="332"/>
    <x v="213"/>
    <x v="4"/>
    <x v="329"/>
    <x v="1"/>
    <x v="2"/>
    <x v="0"/>
    <x v="96"/>
    <x v="4"/>
    <x v="3"/>
    <x v="3"/>
    <x v="2"/>
    <x v="0"/>
  </r>
  <r>
    <x v="333"/>
    <x v="79"/>
    <x v="28"/>
    <x v="330"/>
    <x v="3"/>
    <x v="1"/>
    <x v="0"/>
    <x v="75"/>
    <x v="28"/>
    <x v="3"/>
    <x v="1"/>
    <x v="1"/>
    <x v="29"/>
  </r>
  <r>
    <x v="334"/>
    <x v="175"/>
    <x v="27"/>
    <x v="331"/>
    <x v="6"/>
    <x v="3"/>
    <x v="0"/>
    <x v="78"/>
    <x v="27"/>
    <x v="3"/>
    <x v="0"/>
    <x v="3"/>
    <x v="25"/>
  </r>
  <r>
    <x v="335"/>
    <x v="208"/>
    <x v="15"/>
    <x v="332"/>
    <x v="6"/>
    <x v="3"/>
    <x v="0"/>
    <x v="34"/>
    <x v="15"/>
    <x v="6"/>
    <x v="3"/>
    <x v="3"/>
    <x v="0"/>
  </r>
  <r>
    <x v="336"/>
    <x v="214"/>
    <x v="24"/>
    <x v="333"/>
    <x v="5"/>
    <x v="1"/>
    <x v="0"/>
    <x v="66"/>
    <x v="24"/>
    <x v="2"/>
    <x v="0"/>
    <x v="1"/>
    <x v="5"/>
  </r>
  <r>
    <x v="337"/>
    <x v="215"/>
    <x v="1"/>
    <x v="334"/>
    <x v="0"/>
    <x v="1"/>
    <x v="2"/>
    <x v="34"/>
    <x v="1"/>
    <x v="1"/>
    <x v="1"/>
    <x v="1"/>
    <x v="20"/>
  </r>
  <r>
    <x v="338"/>
    <x v="12"/>
    <x v="34"/>
    <x v="335"/>
    <x v="0"/>
    <x v="1"/>
    <x v="0"/>
    <x v="14"/>
    <x v="34"/>
    <x v="3"/>
    <x v="0"/>
    <x v="1"/>
    <x v="17"/>
  </r>
  <r>
    <x v="339"/>
    <x v="68"/>
    <x v="22"/>
    <x v="336"/>
    <x v="2"/>
    <x v="1"/>
    <x v="0"/>
    <x v="58"/>
    <x v="22"/>
    <x v="6"/>
    <x v="3"/>
    <x v="1"/>
    <x v="19"/>
  </r>
  <r>
    <x v="340"/>
    <x v="129"/>
    <x v="23"/>
    <x v="337"/>
    <x v="3"/>
    <x v="2"/>
    <x v="0"/>
    <x v="14"/>
    <x v="23"/>
    <x v="6"/>
    <x v="3"/>
    <x v="2"/>
    <x v="21"/>
  </r>
  <r>
    <x v="341"/>
    <x v="88"/>
    <x v="26"/>
    <x v="338"/>
    <x v="0"/>
    <x v="1"/>
    <x v="1"/>
    <x v="24"/>
    <x v="26"/>
    <x v="1"/>
    <x v="1"/>
    <x v="1"/>
    <x v="5"/>
  </r>
  <r>
    <x v="342"/>
    <x v="208"/>
    <x v="14"/>
    <x v="339"/>
    <x v="2"/>
    <x v="1"/>
    <x v="0"/>
    <x v="22"/>
    <x v="14"/>
    <x v="2"/>
    <x v="2"/>
    <x v="1"/>
    <x v="14"/>
  </r>
  <r>
    <x v="343"/>
    <x v="216"/>
    <x v="17"/>
    <x v="340"/>
    <x v="1"/>
    <x v="0"/>
    <x v="0"/>
    <x v="73"/>
    <x v="17"/>
    <x v="6"/>
    <x v="3"/>
    <x v="0"/>
    <x v="12"/>
  </r>
  <r>
    <x v="344"/>
    <x v="216"/>
    <x v="33"/>
    <x v="341"/>
    <x v="1"/>
    <x v="1"/>
    <x v="0"/>
    <x v="85"/>
    <x v="33"/>
    <x v="6"/>
    <x v="0"/>
    <x v="1"/>
    <x v="2"/>
  </r>
  <r>
    <x v="345"/>
    <x v="89"/>
    <x v="33"/>
    <x v="342"/>
    <x v="3"/>
    <x v="0"/>
    <x v="0"/>
    <x v="84"/>
    <x v="33"/>
    <x v="6"/>
    <x v="0"/>
    <x v="0"/>
    <x v="17"/>
  </r>
  <r>
    <x v="346"/>
    <x v="194"/>
    <x v="0"/>
    <x v="343"/>
    <x v="3"/>
    <x v="1"/>
    <x v="0"/>
    <x v="56"/>
    <x v="0"/>
    <x v="0"/>
    <x v="0"/>
    <x v="1"/>
    <x v="29"/>
  </r>
  <r>
    <x v="347"/>
    <x v="217"/>
    <x v="13"/>
    <x v="344"/>
    <x v="3"/>
    <x v="0"/>
    <x v="0"/>
    <x v="78"/>
    <x v="13"/>
    <x v="3"/>
    <x v="1"/>
    <x v="0"/>
    <x v="23"/>
  </r>
  <r>
    <x v="348"/>
    <x v="85"/>
    <x v="13"/>
    <x v="345"/>
    <x v="5"/>
    <x v="1"/>
    <x v="0"/>
    <x v="35"/>
    <x v="13"/>
    <x v="3"/>
    <x v="1"/>
    <x v="1"/>
    <x v="26"/>
  </r>
  <r>
    <x v="349"/>
    <x v="218"/>
    <x v="28"/>
    <x v="346"/>
    <x v="2"/>
    <x v="1"/>
    <x v="0"/>
    <x v="90"/>
    <x v="28"/>
    <x v="3"/>
    <x v="1"/>
    <x v="1"/>
    <x v="9"/>
  </r>
  <r>
    <x v="350"/>
    <x v="219"/>
    <x v="22"/>
    <x v="347"/>
    <x v="5"/>
    <x v="2"/>
    <x v="0"/>
    <x v="26"/>
    <x v="22"/>
    <x v="6"/>
    <x v="3"/>
    <x v="2"/>
    <x v="28"/>
  </r>
  <r>
    <x v="351"/>
    <x v="133"/>
    <x v="25"/>
    <x v="348"/>
    <x v="8"/>
    <x v="1"/>
    <x v="0"/>
    <x v="19"/>
    <x v="25"/>
    <x v="5"/>
    <x v="3"/>
    <x v="1"/>
    <x v="23"/>
  </r>
  <r>
    <x v="352"/>
    <x v="61"/>
    <x v="25"/>
    <x v="343"/>
    <x v="7"/>
    <x v="1"/>
    <x v="0"/>
    <x v="31"/>
    <x v="25"/>
    <x v="5"/>
    <x v="3"/>
    <x v="1"/>
    <x v="29"/>
  </r>
  <r>
    <x v="353"/>
    <x v="177"/>
    <x v="30"/>
    <x v="349"/>
    <x v="2"/>
    <x v="2"/>
    <x v="0"/>
    <x v="58"/>
    <x v="30"/>
    <x v="6"/>
    <x v="1"/>
    <x v="2"/>
    <x v="6"/>
  </r>
  <r>
    <x v="354"/>
    <x v="124"/>
    <x v="25"/>
    <x v="350"/>
    <x v="7"/>
    <x v="1"/>
    <x v="0"/>
    <x v="13"/>
    <x v="25"/>
    <x v="5"/>
    <x v="3"/>
    <x v="1"/>
    <x v="1"/>
  </r>
  <r>
    <x v="355"/>
    <x v="43"/>
    <x v="11"/>
    <x v="351"/>
    <x v="3"/>
    <x v="1"/>
    <x v="0"/>
    <x v="7"/>
    <x v="11"/>
    <x v="0"/>
    <x v="3"/>
    <x v="1"/>
    <x v="21"/>
  </r>
  <r>
    <x v="356"/>
    <x v="220"/>
    <x v="39"/>
    <x v="352"/>
    <x v="3"/>
    <x v="1"/>
    <x v="0"/>
    <x v="91"/>
    <x v="39"/>
    <x v="1"/>
    <x v="1"/>
    <x v="1"/>
    <x v="18"/>
  </r>
  <r>
    <x v="357"/>
    <x v="221"/>
    <x v="34"/>
    <x v="353"/>
    <x v="1"/>
    <x v="1"/>
    <x v="0"/>
    <x v="81"/>
    <x v="34"/>
    <x v="3"/>
    <x v="0"/>
    <x v="1"/>
    <x v="7"/>
  </r>
  <r>
    <x v="358"/>
    <x v="222"/>
    <x v="12"/>
    <x v="354"/>
    <x v="7"/>
    <x v="1"/>
    <x v="2"/>
    <x v="14"/>
    <x v="12"/>
    <x v="5"/>
    <x v="2"/>
    <x v="1"/>
    <x v="0"/>
  </r>
  <r>
    <x v="359"/>
    <x v="16"/>
    <x v="35"/>
    <x v="355"/>
    <x v="3"/>
    <x v="2"/>
    <x v="0"/>
    <x v="50"/>
    <x v="35"/>
    <x v="3"/>
    <x v="3"/>
    <x v="2"/>
    <x v="4"/>
  </r>
  <r>
    <x v="360"/>
    <x v="223"/>
    <x v="21"/>
    <x v="356"/>
    <x v="1"/>
    <x v="1"/>
    <x v="0"/>
    <x v="61"/>
    <x v="21"/>
    <x v="5"/>
    <x v="2"/>
    <x v="1"/>
    <x v="18"/>
  </r>
  <r>
    <x v="361"/>
    <x v="15"/>
    <x v="30"/>
    <x v="357"/>
    <x v="0"/>
    <x v="1"/>
    <x v="0"/>
    <x v="33"/>
    <x v="30"/>
    <x v="6"/>
    <x v="1"/>
    <x v="1"/>
    <x v="24"/>
  </r>
  <r>
    <x v="362"/>
    <x v="99"/>
    <x v="27"/>
    <x v="358"/>
    <x v="1"/>
    <x v="2"/>
    <x v="0"/>
    <x v="28"/>
    <x v="27"/>
    <x v="3"/>
    <x v="0"/>
    <x v="2"/>
    <x v="23"/>
  </r>
  <r>
    <x v="363"/>
    <x v="162"/>
    <x v="21"/>
    <x v="359"/>
    <x v="0"/>
    <x v="0"/>
    <x v="0"/>
    <x v="57"/>
    <x v="21"/>
    <x v="5"/>
    <x v="2"/>
    <x v="0"/>
    <x v="24"/>
  </r>
  <r>
    <x v="364"/>
    <x v="77"/>
    <x v="2"/>
    <x v="360"/>
    <x v="5"/>
    <x v="1"/>
    <x v="0"/>
    <x v="89"/>
    <x v="2"/>
    <x v="1"/>
    <x v="1"/>
    <x v="1"/>
    <x v="2"/>
  </r>
  <r>
    <x v="365"/>
    <x v="224"/>
    <x v="34"/>
    <x v="361"/>
    <x v="3"/>
    <x v="1"/>
    <x v="0"/>
    <x v="47"/>
    <x v="34"/>
    <x v="3"/>
    <x v="0"/>
    <x v="1"/>
    <x v="8"/>
  </r>
  <r>
    <x v="366"/>
    <x v="186"/>
    <x v="6"/>
    <x v="362"/>
    <x v="7"/>
    <x v="1"/>
    <x v="0"/>
    <x v="84"/>
    <x v="6"/>
    <x v="2"/>
    <x v="3"/>
    <x v="1"/>
    <x v="5"/>
  </r>
  <r>
    <x v="367"/>
    <x v="163"/>
    <x v="1"/>
    <x v="363"/>
    <x v="2"/>
    <x v="2"/>
    <x v="1"/>
    <x v="80"/>
    <x v="1"/>
    <x v="1"/>
    <x v="1"/>
    <x v="2"/>
    <x v="17"/>
  </r>
  <r>
    <x v="368"/>
    <x v="225"/>
    <x v="20"/>
    <x v="364"/>
    <x v="1"/>
    <x v="1"/>
    <x v="2"/>
    <x v="99"/>
    <x v="20"/>
    <x v="0"/>
    <x v="3"/>
    <x v="1"/>
    <x v="25"/>
  </r>
  <r>
    <x v="369"/>
    <x v="174"/>
    <x v="36"/>
    <x v="365"/>
    <x v="6"/>
    <x v="1"/>
    <x v="0"/>
    <x v="71"/>
    <x v="36"/>
    <x v="2"/>
    <x v="2"/>
    <x v="1"/>
    <x v="2"/>
  </r>
  <r>
    <x v="370"/>
    <x v="78"/>
    <x v="36"/>
    <x v="366"/>
    <x v="3"/>
    <x v="1"/>
    <x v="0"/>
    <x v="92"/>
    <x v="36"/>
    <x v="2"/>
    <x v="2"/>
    <x v="1"/>
    <x v="15"/>
  </r>
  <r>
    <x v="371"/>
    <x v="226"/>
    <x v="3"/>
    <x v="367"/>
    <x v="5"/>
    <x v="0"/>
    <x v="0"/>
    <x v="76"/>
    <x v="3"/>
    <x v="2"/>
    <x v="2"/>
    <x v="0"/>
    <x v="7"/>
  </r>
  <r>
    <x v="372"/>
    <x v="227"/>
    <x v="28"/>
    <x v="368"/>
    <x v="2"/>
    <x v="1"/>
    <x v="0"/>
    <x v="22"/>
    <x v="28"/>
    <x v="3"/>
    <x v="1"/>
    <x v="1"/>
    <x v="28"/>
  </r>
  <r>
    <x v="373"/>
    <x v="228"/>
    <x v="25"/>
    <x v="369"/>
    <x v="2"/>
    <x v="2"/>
    <x v="0"/>
    <x v="61"/>
    <x v="25"/>
    <x v="5"/>
    <x v="3"/>
    <x v="2"/>
    <x v="24"/>
  </r>
  <r>
    <x v="374"/>
    <x v="90"/>
    <x v="16"/>
    <x v="370"/>
    <x v="4"/>
    <x v="0"/>
    <x v="0"/>
    <x v="80"/>
    <x v="16"/>
    <x v="3"/>
    <x v="3"/>
    <x v="0"/>
    <x v="5"/>
  </r>
  <r>
    <x v="375"/>
    <x v="77"/>
    <x v="5"/>
    <x v="371"/>
    <x v="1"/>
    <x v="1"/>
    <x v="0"/>
    <x v="82"/>
    <x v="5"/>
    <x v="2"/>
    <x v="1"/>
    <x v="1"/>
    <x v="20"/>
  </r>
  <r>
    <x v="376"/>
    <x v="90"/>
    <x v="30"/>
    <x v="372"/>
    <x v="3"/>
    <x v="0"/>
    <x v="0"/>
    <x v="73"/>
    <x v="30"/>
    <x v="6"/>
    <x v="1"/>
    <x v="0"/>
    <x v="3"/>
  </r>
  <r>
    <x v="377"/>
    <x v="126"/>
    <x v="5"/>
    <x v="373"/>
    <x v="1"/>
    <x v="1"/>
    <x v="0"/>
    <x v="30"/>
    <x v="5"/>
    <x v="2"/>
    <x v="1"/>
    <x v="1"/>
    <x v="13"/>
  </r>
  <r>
    <x v="378"/>
    <x v="167"/>
    <x v="13"/>
    <x v="374"/>
    <x v="1"/>
    <x v="3"/>
    <x v="0"/>
    <x v="91"/>
    <x v="13"/>
    <x v="3"/>
    <x v="1"/>
    <x v="3"/>
    <x v="16"/>
  </r>
  <r>
    <x v="379"/>
    <x v="98"/>
    <x v="28"/>
    <x v="375"/>
    <x v="5"/>
    <x v="0"/>
    <x v="0"/>
    <x v="54"/>
    <x v="28"/>
    <x v="3"/>
    <x v="1"/>
    <x v="0"/>
    <x v="29"/>
  </r>
  <r>
    <x v="380"/>
    <x v="14"/>
    <x v="7"/>
    <x v="376"/>
    <x v="7"/>
    <x v="0"/>
    <x v="0"/>
    <x v="82"/>
    <x v="7"/>
    <x v="3"/>
    <x v="0"/>
    <x v="0"/>
    <x v="24"/>
  </r>
  <r>
    <x v="381"/>
    <x v="128"/>
    <x v="12"/>
    <x v="377"/>
    <x v="3"/>
    <x v="3"/>
    <x v="0"/>
    <x v="99"/>
    <x v="12"/>
    <x v="5"/>
    <x v="2"/>
    <x v="3"/>
    <x v="20"/>
  </r>
  <r>
    <x v="382"/>
    <x v="217"/>
    <x v="36"/>
    <x v="378"/>
    <x v="6"/>
    <x v="3"/>
    <x v="0"/>
    <x v="60"/>
    <x v="36"/>
    <x v="2"/>
    <x v="2"/>
    <x v="3"/>
    <x v="23"/>
  </r>
  <r>
    <x v="383"/>
    <x v="108"/>
    <x v="1"/>
    <x v="379"/>
    <x v="6"/>
    <x v="3"/>
    <x v="0"/>
    <x v="9"/>
    <x v="1"/>
    <x v="1"/>
    <x v="1"/>
    <x v="3"/>
    <x v="8"/>
  </r>
  <r>
    <x v="384"/>
    <x v="227"/>
    <x v="39"/>
    <x v="380"/>
    <x v="6"/>
    <x v="0"/>
    <x v="0"/>
    <x v="72"/>
    <x v="39"/>
    <x v="1"/>
    <x v="1"/>
    <x v="0"/>
    <x v="20"/>
  </r>
  <r>
    <x v="385"/>
    <x v="229"/>
    <x v="20"/>
    <x v="381"/>
    <x v="1"/>
    <x v="3"/>
    <x v="0"/>
    <x v="34"/>
    <x v="20"/>
    <x v="0"/>
    <x v="3"/>
    <x v="3"/>
    <x v="15"/>
  </r>
  <r>
    <x v="386"/>
    <x v="90"/>
    <x v="17"/>
    <x v="382"/>
    <x v="1"/>
    <x v="3"/>
    <x v="0"/>
    <x v="19"/>
    <x v="17"/>
    <x v="6"/>
    <x v="3"/>
    <x v="3"/>
    <x v="8"/>
  </r>
  <r>
    <x v="387"/>
    <x v="230"/>
    <x v="21"/>
    <x v="383"/>
    <x v="3"/>
    <x v="0"/>
    <x v="0"/>
    <x v="57"/>
    <x v="21"/>
    <x v="5"/>
    <x v="2"/>
    <x v="0"/>
    <x v="8"/>
  </r>
  <r>
    <x v="388"/>
    <x v="220"/>
    <x v="9"/>
    <x v="384"/>
    <x v="4"/>
    <x v="3"/>
    <x v="0"/>
    <x v="33"/>
    <x v="9"/>
    <x v="1"/>
    <x v="3"/>
    <x v="3"/>
    <x v="15"/>
  </r>
  <r>
    <x v="389"/>
    <x v="231"/>
    <x v="22"/>
    <x v="385"/>
    <x v="1"/>
    <x v="1"/>
    <x v="0"/>
    <x v="3"/>
    <x v="22"/>
    <x v="6"/>
    <x v="3"/>
    <x v="1"/>
    <x v="0"/>
  </r>
  <r>
    <x v="390"/>
    <x v="208"/>
    <x v="4"/>
    <x v="386"/>
    <x v="8"/>
    <x v="0"/>
    <x v="0"/>
    <x v="51"/>
    <x v="4"/>
    <x v="3"/>
    <x v="3"/>
    <x v="0"/>
    <x v="24"/>
  </r>
  <r>
    <x v="391"/>
    <x v="232"/>
    <x v="3"/>
    <x v="387"/>
    <x v="6"/>
    <x v="1"/>
    <x v="0"/>
    <x v="19"/>
    <x v="3"/>
    <x v="2"/>
    <x v="2"/>
    <x v="1"/>
    <x v="27"/>
  </r>
  <r>
    <x v="392"/>
    <x v="169"/>
    <x v="33"/>
    <x v="388"/>
    <x v="1"/>
    <x v="3"/>
    <x v="0"/>
    <x v="27"/>
    <x v="33"/>
    <x v="6"/>
    <x v="0"/>
    <x v="3"/>
    <x v="17"/>
  </r>
  <r>
    <x v="393"/>
    <x v="153"/>
    <x v="6"/>
    <x v="389"/>
    <x v="0"/>
    <x v="1"/>
    <x v="0"/>
    <x v="11"/>
    <x v="6"/>
    <x v="2"/>
    <x v="3"/>
    <x v="1"/>
    <x v="19"/>
  </r>
  <r>
    <x v="394"/>
    <x v="194"/>
    <x v="28"/>
    <x v="390"/>
    <x v="0"/>
    <x v="1"/>
    <x v="0"/>
    <x v="91"/>
    <x v="28"/>
    <x v="3"/>
    <x v="1"/>
    <x v="1"/>
    <x v="7"/>
  </r>
  <r>
    <x v="395"/>
    <x v="233"/>
    <x v="13"/>
    <x v="391"/>
    <x v="6"/>
    <x v="1"/>
    <x v="1"/>
    <x v="44"/>
    <x v="13"/>
    <x v="3"/>
    <x v="1"/>
    <x v="1"/>
    <x v="4"/>
  </r>
  <r>
    <x v="396"/>
    <x v="177"/>
    <x v="22"/>
    <x v="392"/>
    <x v="6"/>
    <x v="1"/>
    <x v="0"/>
    <x v="88"/>
    <x v="22"/>
    <x v="6"/>
    <x v="3"/>
    <x v="1"/>
    <x v="13"/>
  </r>
  <r>
    <x v="397"/>
    <x v="234"/>
    <x v="23"/>
    <x v="393"/>
    <x v="7"/>
    <x v="0"/>
    <x v="0"/>
    <x v="94"/>
    <x v="23"/>
    <x v="6"/>
    <x v="3"/>
    <x v="0"/>
    <x v="18"/>
  </r>
  <r>
    <x v="398"/>
    <x v="235"/>
    <x v="37"/>
    <x v="394"/>
    <x v="2"/>
    <x v="2"/>
    <x v="0"/>
    <x v="29"/>
    <x v="37"/>
    <x v="1"/>
    <x v="2"/>
    <x v="2"/>
    <x v="14"/>
  </r>
  <r>
    <x v="399"/>
    <x v="88"/>
    <x v="3"/>
    <x v="395"/>
    <x v="4"/>
    <x v="1"/>
    <x v="1"/>
    <x v="61"/>
    <x v="3"/>
    <x v="2"/>
    <x v="2"/>
    <x v="1"/>
    <x v="11"/>
  </r>
  <r>
    <x v="400"/>
    <x v="236"/>
    <x v="28"/>
    <x v="396"/>
    <x v="1"/>
    <x v="1"/>
    <x v="0"/>
    <x v="75"/>
    <x v="28"/>
    <x v="3"/>
    <x v="1"/>
    <x v="1"/>
    <x v="23"/>
  </r>
  <r>
    <x v="401"/>
    <x v="139"/>
    <x v="30"/>
    <x v="397"/>
    <x v="5"/>
    <x v="3"/>
    <x v="0"/>
    <x v="18"/>
    <x v="30"/>
    <x v="6"/>
    <x v="1"/>
    <x v="3"/>
    <x v="28"/>
  </r>
  <r>
    <x v="402"/>
    <x v="138"/>
    <x v="15"/>
    <x v="398"/>
    <x v="7"/>
    <x v="1"/>
    <x v="0"/>
    <x v="80"/>
    <x v="15"/>
    <x v="6"/>
    <x v="3"/>
    <x v="1"/>
    <x v="27"/>
  </r>
  <r>
    <x v="403"/>
    <x v="119"/>
    <x v="31"/>
    <x v="399"/>
    <x v="7"/>
    <x v="1"/>
    <x v="2"/>
    <x v="22"/>
    <x v="31"/>
    <x v="3"/>
    <x v="1"/>
    <x v="1"/>
    <x v="1"/>
  </r>
  <r>
    <x v="404"/>
    <x v="78"/>
    <x v="34"/>
    <x v="400"/>
    <x v="4"/>
    <x v="0"/>
    <x v="0"/>
    <x v="70"/>
    <x v="34"/>
    <x v="3"/>
    <x v="0"/>
    <x v="0"/>
    <x v="5"/>
  </r>
  <r>
    <x v="405"/>
    <x v="27"/>
    <x v="25"/>
    <x v="401"/>
    <x v="1"/>
    <x v="0"/>
    <x v="0"/>
    <x v="5"/>
    <x v="25"/>
    <x v="5"/>
    <x v="3"/>
    <x v="0"/>
    <x v="2"/>
  </r>
  <r>
    <x v="406"/>
    <x v="18"/>
    <x v="16"/>
    <x v="402"/>
    <x v="3"/>
    <x v="2"/>
    <x v="0"/>
    <x v="87"/>
    <x v="16"/>
    <x v="3"/>
    <x v="3"/>
    <x v="2"/>
    <x v="21"/>
  </r>
  <r>
    <x v="407"/>
    <x v="11"/>
    <x v="18"/>
    <x v="403"/>
    <x v="7"/>
    <x v="2"/>
    <x v="0"/>
    <x v="89"/>
    <x v="18"/>
    <x v="6"/>
    <x v="2"/>
    <x v="2"/>
    <x v="5"/>
  </r>
  <r>
    <x v="408"/>
    <x v="133"/>
    <x v="32"/>
    <x v="404"/>
    <x v="6"/>
    <x v="1"/>
    <x v="0"/>
    <x v="44"/>
    <x v="32"/>
    <x v="4"/>
    <x v="2"/>
    <x v="1"/>
    <x v="17"/>
  </r>
  <r>
    <x v="409"/>
    <x v="237"/>
    <x v="11"/>
    <x v="405"/>
    <x v="8"/>
    <x v="1"/>
    <x v="0"/>
    <x v="21"/>
    <x v="11"/>
    <x v="0"/>
    <x v="3"/>
    <x v="1"/>
    <x v="1"/>
  </r>
  <r>
    <x v="410"/>
    <x v="123"/>
    <x v="17"/>
    <x v="406"/>
    <x v="3"/>
    <x v="1"/>
    <x v="0"/>
    <x v="95"/>
    <x v="17"/>
    <x v="6"/>
    <x v="3"/>
    <x v="1"/>
    <x v="23"/>
  </r>
  <r>
    <x v="411"/>
    <x v="238"/>
    <x v="35"/>
    <x v="407"/>
    <x v="6"/>
    <x v="1"/>
    <x v="0"/>
    <x v="36"/>
    <x v="35"/>
    <x v="3"/>
    <x v="3"/>
    <x v="1"/>
    <x v="17"/>
  </r>
  <r>
    <x v="412"/>
    <x v="239"/>
    <x v="24"/>
    <x v="408"/>
    <x v="7"/>
    <x v="2"/>
    <x v="0"/>
    <x v="58"/>
    <x v="24"/>
    <x v="2"/>
    <x v="0"/>
    <x v="2"/>
    <x v="29"/>
  </r>
  <r>
    <x v="413"/>
    <x v="213"/>
    <x v="29"/>
    <x v="409"/>
    <x v="2"/>
    <x v="3"/>
    <x v="0"/>
    <x v="82"/>
    <x v="29"/>
    <x v="1"/>
    <x v="3"/>
    <x v="3"/>
    <x v="18"/>
  </r>
  <r>
    <x v="414"/>
    <x v="89"/>
    <x v="27"/>
    <x v="410"/>
    <x v="2"/>
    <x v="3"/>
    <x v="0"/>
    <x v="38"/>
    <x v="27"/>
    <x v="3"/>
    <x v="0"/>
    <x v="3"/>
    <x v="17"/>
  </r>
  <r>
    <x v="415"/>
    <x v="240"/>
    <x v="35"/>
    <x v="411"/>
    <x v="1"/>
    <x v="1"/>
    <x v="0"/>
    <x v="66"/>
    <x v="35"/>
    <x v="3"/>
    <x v="3"/>
    <x v="1"/>
    <x v="10"/>
  </r>
  <r>
    <x v="416"/>
    <x v="188"/>
    <x v="8"/>
    <x v="412"/>
    <x v="5"/>
    <x v="3"/>
    <x v="1"/>
    <x v="83"/>
    <x v="8"/>
    <x v="4"/>
    <x v="3"/>
    <x v="3"/>
    <x v="22"/>
  </r>
  <r>
    <x v="417"/>
    <x v="183"/>
    <x v="4"/>
    <x v="413"/>
    <x v="1"/>
    <x v="1"/>
    <x v="0"/>
    <x v="19"/>
    <x v="4"/>
    <x v="3"/>
    <x v="3"/>
    <x v="1"/>
    <x v="3"/>
  </r>
  <r>
    <x v="418"/>
    <x v="103"/>
    <x v="1"/>
    <x v="414"/>
    <x v="7"/>
    <x v="1"/>
    <x v="0"/>
    <x v="53"/>
    <x v="1"/>
    <x v="1"/>
    <x v="1"/>
    <x v="1"/>
    <x v="12"/>
  </r>
  <r>
    <x v="419"/>
    <x v="241"/>
    <x v="14"/>
    <x v="415"/>
    <x v="1"/>
    <x v="0"/>
    <x v="0"/>
    <x v="41"/>
    <x v="14"/>
    <x v="2"/>
    <x v="2"/>
    <x v="0"/>
    <x v="0"/>
  </r>
  <r>
    <x v="420"/>
    <x v="37"/>
    <x v="39"/>
    <x v="416"/>
    <x v="4"/>
    <x v="1"/>
    <x v="0"/>
    <x v="75"/>
    <x v="39"/>
    <x v="1"/>
    <x v="1"/>
    <x v="1"/>
    <x v="13"/>
  </r>
  <r>
    <x v="421"/>
    <x v="3"/>
    <x v="8"/>
    <x v="417"/>
    <x v="1"/>
    <x v="1"/>
    <x v="0"/>
    <x v="38"/>
    <x v="8"/>
    <x v="4"/>
    <x v="3"/>
    <x v="1"/>
    <x v="19"/>
  </r>
  <r>
    <x v="422"/>
    <x v="242"/>
    <x v="37"/>
    <x v="418"/>
    <x v="7"/>
    <x v="0"/>
    <x v="0"/>
    <x v="42"/>
    <x v="37"/>
    <x v="1"/>
    <x v="2"/>
    <x v="0"/>
    <x v="18"/>
  </r>
  <r>
    <x v="423"/>
    <x v="243"/>
    <x v="8"/>
    <x v="419"/>
    <x v="6"/>
    <x v="3"/>
    <x v="0"/>
    <x v="88"/>
    <x v="8"/>
    <x v="4"/>
    <x v="3"/>
    <x v="3"/>
    <x v="9"/>
  </r>
  <r>
    <x v="424"/>
    <x v="244"/>
    <x v="0"/>
    <x v="420"/>
    <x v="1"/>
    <x v="1"/>
    <x v="0"/>
    <x v="70"/>
    <x v="0"/>
    <x v="0"/>
    <x v="0"/>
    <x v="1"/>
    <x v="15"/>
  </r>
  <r>
    <x v="425"/>
    <x v="107"/>
    <x v="30"/>
    <x v="421"/>
    <x v="3"/>
    <x v="2"/>
    <x v="0"/>
    <x v="65"/>
    <x v="30"/>
    <x v="6"/>
    <x v="1"/>
    <x v="2"/>
    <x v="28"/>
  </r>
  <r>
    <x v="426"/>
    <x v="245"/>
    <x v="27"/>
    <x v="422"/>
    <x v="5"/>
    <x v="0"/>
    <x v="0"/>
    <x v="63"/>
    <x v="27"/>
    <x v="3"/>
    <x v="0"/>
    <x v="0"/>
    <x v="16"/>
  </r>
  <r>
    <x v="427"/>
    <x v="166"/>
    <x v="4"/>
    <x v="423"/>
    <x v="5"/>
    <x v="1"/>
    <x v="0"/>
    <x v="52"/>
    <x v="4"/>
    <x v="3"/>
    <x v="3"/>
    <x v="1"/>
    <x v="25"/>
  </r>
  <r>
    <x v="428"/>
    <x v="246"/>
    <x v="0"/>
    <x v="424"/>
    <x v="5"/>
    <x v="1"/>
    <x v="0"/>
    <x v="99"/>
    <x v="0"/>
    <x v="0"/>
    <x v="0"/>
    <x v="1"/>
    <x v="26"/>
  </r>
  <r>
    <x v="429"/>
    <x v="247"/>
    <x v="8"/>
    <x v="425"/>
    <x v="1"/>
    <x v="1"/>
    <x v="0"/>
    <x v="56"/>
    <x v="8"/>
    <x v="4"/>
    <x v="3"/>
    <x v="1"/>
    <x v="22"/>
  </r>
  <r>
    <x v="430"/>
    <x v="138"/>
    <x v="13"/>
    <x v="426"/>
    <x v="1"/>
    <x v="0"/>
    <x v="0"/>
    <x v="57"/>
    <x v="13"/>
    <x v="3"/>
    <x v="1"/>
    <x v="0"/>
    <x v="21"/>
  </r>
  <r>
    <x v="431"/>
    <x v="207"/>
    <x v="21"/>
    <x v="427"/>
    <x v="4"/>
    <x v="1"/>
    <x v="0"/>
    <x v="28"/>
    <x v="21"/>
    <x v="5"/>
    <x v="2"/>
    <x v="1"/>
    <x v="6"/>
  </r>
  <r>
    <x v="432"/>
    <x v="248"/>
    <x v="0"/>
    <x v="428"/>
    <x v="1"/>
    <x v="0"/>
    <x v="0"/>
    <x v="61"/>
    <x v="0"/>
    <x v="0"/>
    <x v="0"/>
    <x v="0"/>
    <x v="21"/>
  </r>
  <r>
    <x v="433"/>
    <x v="249"/>
    <x v="19"/>
    <x v="429"/>
    <x v="1"/>
    <x v="2"/>
    <x v="0"/>
    <x v="64"/>
    <x v="19"/>
    <x v="2"/>
    <x v="1"/>
    <x v="2"/>
    <x v="0"/>
  </r>
  <r>
    <x v="434"/>
    <x v="250"/>
    <x v="35"/>
    <x v="430"/>
    <x v="5"/>
    <x v="0"/>
    <x v="0"/>
    <x v="99"/>
    <x v="35"/>
    <x v="3"/>
    <x v="3"/>
    <x v="0"/>
    <x v="27"/>
  </r>
  <r>
    <x v="435"/>
    <x v="9"/>
    <x v="10"/>
    <x v="431"/>
    <x v="6"/>
    <x v="3"/>
    <x v="0"/>
    <x v="82"/>
    <x v="10"/>
    <x v="1"/>
    <x v="2"/>
    <x v="3"/>
    <x v="3"/>
  </r>
  <r>
    <x v="436"/>
    <x v="193"/>
    <x v="14"/>
    <x v="432"/>
    <x v="4"/>
    <x v="1"/>
    <x v="0"/>
    <x v="3"/>
    <x v="14"/>
    <x v="2"/>
    <x v="2"/>
    <x v="1"/>
    <x v="24"/>
  </r>
  <r>
    <x v="437"/>
    <x v="251"/>
    <x v="1"/>
    <x v="433"/>
    <x v="5"/>
    <x v="3"/>
    <x v="0"/>
    <x v="43"/>
    <x v="1"/>
    <x v="1"/>
    <x v="1"/>
    <x v="3"/>
    <x v="18"/>
  </r>
  <r>
    <x v="438"/>
    <x v="14"/>
    <x v="20"/>
    <x v="434"/>
    <x v="6"/>
    <x v="1"/>
    <x v="0"/>
    <x v="63"/>
    <x v="20"/>
    <x v="0"/>
    <x v="3"/>
    <x v="1"/>
    <x v="27"/>
  </r>
  <r>
    <x v="439"/>
    <x v="109"/>
    <x v="24"/>
    <x v="435"/>
    <x v="1"/>
    <x v="1"/>
    <x v="0"/>
    <x v="83"/>
    <x v="24"/>
    <x v="2"/>
    <x v="0"/>
    <x v="1"/>
    <x v="19"/>
  </r>
  <r>
    <x v="440"/>
    <x v="250"/>
    <x v="36"/>
    <x v="436"/>
    <x v="1"/>
    <x v="3"/>
    <x v="0"/>
    <x v="27"/>
    <x v="36"/>
    <x v="2"/>
    <x v="2"/>
    <x v="3"/>
    <x v="15"/>
  </r>
  <r>
    <x v="441"/>
    <x v="252"/>
    <x v="3"/>
    <x v="437"/>
    <x v="8"/>
    <x v="1"/>
    <x v="0"/>
    <x v="39"/>
    <x v="3"/>
    <x v="2"/>
    <x v="2"/>
    <x v="1"/>
    <x v="11"/>
  </r>
  <r>
    <x v="442"/>
    <x v="58"/>
    <x v="18"/>
    <x v="438"/>
    <x v="4"/>
    <x v="0"/>
    <x v="0"/>
    <x v="35"/>
    <x v="18"/>
    <x v="6"/>
    <x v="2"/>
    <x v="0"/>
    <x v="29"/>
  </r>
  <r>
    <x v="443"/>
    <x v="60"/>
    <x v="14"/>
    <x v="439"/>
    <x v="5"/>
    <x v="0"/>
    <x v="0"/>
    <x v="16"/>
    <x v="14"/>
    <x v="2"/>
    <x v="2"/>
    <x v="0"/>
    <x v="2"/>
  </r>
  <r>
    <x v="444"/>
    <x v="165"/>
    <x v="6"/>
    <x v="440"/>
    <x v="8"/>
    <x v="2"/>
    <x v="0"/>
    <x v="87"/>
    <x v="6"/>
    <x v="2"/>
    <x v="3"/>
    <x v="2"/>
    <x v="26"/>
  </r>
  <r>
    <x v="445"/>
    <x v="1"/>
    <x v="16"/>
    <x v="441"/>
    <x v="3"/>
    <x v="0"/>
    <x v="0"/>
    <x v="34"/>
    <x v="16"/>
    <x v="3"/>
    <x v="3"/>
    <x v="0"/>
    <x v="23"/>
  </r>
  <r>
    <x v="446"/>
    <x v="74"/>
    <x v="16"/>
    <x v="442"/>
    <x v="1"/>
    <x v="1"/>
    <x v="0"/>
    <x v="23"/>
    <x v="16"/>
    <x v="3"/>
    <x v="3"/>
    <x v="1"/>
    <x v="25"/>
  </r>
  <r>
    <x v="447"/>
    <x v="77"/>
    <x v="0"/>
    <x v="443"/>
    <x v="2"/>
    <x v="0"/>
    <x v="0"/>
    <x v="59"/>
    <x v="0"/>
    <x v="0"/>
    <x v="0"/>
    <x v="0"/>
    <x v="2"/>
  </r>
  <r>
    <x v="448"/>
    <x v="195"/>
    <x v="0"/>
    <x v="444"/>
    <x v="7"/>
    <x v="1"/>
    <x v="0"/>
    <x v="15"/>
    <x v="0"/>
    <x v="0"/>
    <x v="0"/>
    <x v="1"/>
    <x v="26"/>
  </r>
  <r>
    <x v="449"/>
    <x v="253"/>
    <x v="8"/>
    <x v="445"/>
    <x v="8"/>
    <x v="1"/>
    <x v="0"/>
    <x v="75"/>
    <x v="8"/>
    <x v="4"/>
    <x v="3"/>
    <x v="1"/>
    <x v="7"/>
  </r>
  <r>
    <x v="450"/>
    <x v="209"/>
    <x v="11"/>
    <x v="446"/>
    <x v="5"/>
    <x v="1"/>
    <x v="0"/>
    <x v="78"/>
    <x v="11"/>
    <x v="0"/>
    <x v="3"/>
    <x v="1"/>
    <x v="28"/>
  </r>
  <r>
    <x v="451"/>
    <x v="85"/>
    <x v="17"/>
    <x v="447"/>
    <x v="5"/>
    <x v="3"/>
    <x v="0"/>
    <x v="71"/>
    <x v="17"/>
    <x v="6"/>
    <x v="3"/>
    <x v="3"/>
    <x v="17"/>
  </r>
  <r>
    <x v="452"/>
    <x v="219"/>
    <x v="21"/>
    <x v="448"/>
    <x v="7"/>
    <x v="1"/>
    <x v="0"/>
    <x v="60"/>
    <x v="21"/>
    <x v="5"/>
    <x v="2"/>
    <x v="1"/>
    <x v="28"/>
  </r>
  <r>
    <x v="453"/>
    <x v="10"/>
    <x v="25"/>
    <x v="449"/>
    <x v="2"/>
    <x v="1"/>
    <x v="0"/>
    <x v="10"/>
    <x v="25"/>
    <x v="5"/>
    <x v="3"/>
    <x v="1"/>
    <x v="2"/>
  </r>
  <r>
    <x v="454"/>
    <x v="119"/>
    <x v="34"/>
    <x v="450"/>
    <x v="6"/>
    <x v="0"/>
    <x v="0"/>
    <x v="21"/>
    <x v="34"/>
    <x v="3"/>
    <x v="0"/>
    <x v="0"/>
    <x v="23"/>
  </r>
  <r>
    <x v="455"/>
    <x v="19"/>
    <x v="0"/>
    <x v="451"/>
    <x v="6"/>
    <x v="2"/>
    <x v="0"/>
    <x v="78"/>
    <x v="0"/>
    <x v="0"/>
    <x v="0"/>
    <x v="2"/>
    <x v="7"/>
  </r>
  <r>
    <x v="456"/>
    <x v="233"/>
    <x v="28"/>
    <x v="452"/>
    <x v="3"/>
    <x v="2"/>
    <x v="0"/>
    <x v="87"/>
    <x v="28"/>
    <x v="3"/>
    <x v="1"/>
    <x v="2"/>
    <x v="15"/>
  </r>
  <r>
    <x v="457"/>
    <x v="179"/>
    <x v="33"/>
    <x v="453"/>
    <x v="2"/>
    <x v="1"/>
    <x v="0"/>
    <x v="70"/>
    <x v="33"/>
    <x v="6"/>
    <x v="0"/>
    <x v="1"/>
    <x v="6"/>
  </r>
  <r>
    <x v="458"/>
    <x v="201"/>
    <x v="2"/>
    <x v="454"/>
    <x v="2"/>
    <x v="1"/>
    <x v="0"/>
    <x v="27"/>
    <x v="2"/>
    <x v="1"/>
    <x v="1"/>
    <x v="1"/>
    <x v="4"/>
  </r>
  <r>
    <x v="459"/>
    <x v="71"/>
    <x v="8"/>
    <x v="455"/>
    <x v="7"/>
    <x v="0"/>
    <x v="0"/>
    <x v="39"/>
    <x v="8"/>
    <x v="4"/>
    <x v="3"/>
    <x v="0"/>
    <x v="2"/>
  </r>
  <r>
    <x v="460"/>
    <x v="254"/>
    <x v="29"/>
    <x v="456"/>
    <x v="7"/>
    <x v="2"/>
    <x v="0"/>
    <x v="87"/>
    <x v="29"/>
    <x v="1"/>
    <x v="3"/>
    <x v="2"/>
    <x v="22"/>
  </r>
  <r>
    <x v="461"/>
    <x v="99"/>
    <x v="19"/>
    <x v="457"/>
    <x v="6"/>
    <x v="1"/>
    <x v="0"/>
    <x v="32"/>
    <x v="19"/>
    <x v="2"/>
    <x v="1"/>
    <x v="1"/>
    <x v="9"/>
  </r>
  <r>
    <x v="462"/>
    <x v="240"/>
    <x v="11"/>
    <x v="458"/>
    <x v="1"/>
    <x v="2"/>
    <x v="0"/>
    <x v="70"/>
    <x v="11"/>
    <x v="0"/>
    <x v="3"/>
    <x v="2"/>
    <x v="20"/>
  </r>
  <r>
    <x v="463"/>
    <x v="35"/>
    <x v="12"/>
    <x v="459"/>
    <x v="3"/>
    <x v="1"/>
    <x v="0"/>
    <x v="34"/>
    <x v="12"/>
    <x v="5"/>
    <x v="2"/>
    <x v="1"/>
    <x v="28"/>
  </r>
  <r>
    <x v="464"/>
    <x v="255"/>
    <x v="8"/>
    <x v="460"/>
    <x v="5"/>
    <x v="1"/>
    <x v="0"/>
    <x v="15"/>
    <x v="8"/>
    <x v="4"/>
    <x v="3"/>
    <x v="1"/>
    <x v="13"/>
  </r>
  <r>
    <x v="465"/>
    <x v="32"/>
    <x v="7"/>
    <x v="461"/>
    <x v="7"/>
    <x v="1"/>
    <x v="0"/>
    <x v="35"/>
    <x v="7"/>
    <x v="3"/>
    <x v="0"/>
    <x v="1"/>
    <x v="12"/>
  </r>
  <r>
    <x v="466"/>
    <x v="92"/>
    <x v="10"/>
    <x v="462"/>
    <x v="6"/>
    <x v="1"/>
    <x v="0"/>
    <x v="2"/>
    <x v="10"/>
    <x v="1"/>
    <x v="2"/>
    <x v="1"/>
    <x v="27"/>
  </r>
  <r>
    <x v="467"/>
    <x v="185"/>
    <x v="0"/>
    <x v="463"/>
    <x v="1"/>
    <x v="0"/>
    <x v="0"/>
    <x v="23"/>
    <x v="0"/>
    <x v="0"/>
    <x v="0"/>
    <x v="0"/>
    <x v="1"/>
  </r>
  <r>
    <x v="468"/>
    <x v="256"/>
    <x v="7"/>
    <x v="464"/>
    <x v="7"/>
    <x v="3"/>
    <x v="0"/>
    <x v="38"/>
    <x v="7"/>
    <x v="3"/>
    <x v="0"/>
    <x v="3"/>
    <x v="26"/>
  </r>
  <r>
    <x v="469"/>
    <x v="6"/>
    <x v="21"/>
    <x v="465"/>
    <x v="5"/>
    <x v="3"/>
    <x v="0"/>
    <x v="24"/>
    <x v="21"/>
    <x v="5"/>
    <x v="2"/>
    <x v="3"/>
    <x v="29"/>
  </r>
  <r>
    <x v="470"/>
    <x v="83"/>
    <x v="4"/>
    <x v="76"/>
    <x v="1"/>
    <x v="1"/>
    <x v="0"/>
    <x v="20"/>
    <x v="4"/>
    <x v="3"/>
    <x v="3"/>
    <x v="1"/>
    <x v="20"/>
  </r>
  <r>
    <x v="471"/>
    <x v="100"/>
    <x v="20"/>
    <x v="466"/>
    <x v="5"/>
    <x v="2"/>
    <x v="0"/>
    <x v="83"/>
    <x v="20"/>
    <x v="0"/>
    <x v="3"/>
    <x v="2"/>
    <x v="11"/>
  </r>
  <r>
    <x v="472"/>
    <x v="257"/>
    <x v="18"/>
    <x v="467"/>
    <x v="1"/>
    <x v="1"/>
    <x v="0"/>
    <x v="78"/>
    <x v="18"/>
    <x v="6"/>
    <x v="2"/>
    <x v="1"/>
    <x v="8"/>
  </r>
  <r>
    <x v="473"/>
    <x v="15"/>
    <x v="21"/>
    <x v="468"/>
    <x v="3"/>
    <x v="1"/>
    <x v="1"/>
    <x v="74"/>
    <x v="21"/>
    <x v="5"/>
    <x v="2"/>
    <x v="1"/>
    <x v="19"/>
  </r>
  <r>
    <x v="474"/>
    <x v="167"/>
    <x v="19"/>
    <x v="469"/>
    <x v="1"/>
    <x v="2"/>
    <x v="0"/>
    <x v="56"/>
    <x v="19"/>
    <x v="2"/>
    <x v="1"/>
    <x v="2"/>
    <x v="0"/>
  </r>
  <r>
    <x v="475"/>
    <x v="258"/>
    <x v="20"/>
    <x v="470"/>
    <x v="1"/>
    <x v="2"/>
    <x v="1"/>
    <x v="4"/>
    <x v="20"/>
    <x v="0"/>
    <x v="3"/>
    <x v="2"/>
    <x v="0"/>
  </r>
  <r>
    <x v="476"/>
    <x v="259"/>
    <x v="8"/>
    <x v="471"/>
    <x v="2"/>
    <x v="1"/>
    <x v="0"/>
    <x v="44"/>
    <x v="8"/>
    <x v="4"/>
    <x v="3"/>
    <x v="1"/>
    <x v="22"/>
  </r>
  <r>
    <x v="477"/>
    <x v="260"/>
    <x v="27"/>
    <x v="472"/>
    <x v="5"/>
    <x v="0"/>
    <x v="0"/>
    <x v="71"/>
    <x v="27"/>
    <x v="3"/>
    <x v="0"/>
    <x v="0"/>
    <x v="13"/>
  </r>
  <r>
    <x v="478"/>
    <x v="195"/>
    <x v="32"/>
    <x v="473"/>
    <x v="1"/>
    <x v="1"/>
    <x v="0"/>
    <x v="61"/>
    <x v="32"/>
    <x v="4"/>
    <x v="2"/>
    <x v="1"/>
    <x v="23"/>
  </r>
  <r>
    <x v="479"/>
    <x v="258"/>
    <x v="14"/>
    <x v="474"/>
    <x v="3"/>
    <x v="0"/>
    <x v="0"/>
    <x v="16"/>
    <x v="14"/>
    <x v="2"/>
    <x v="2"/>
    <x v="0"/>
    <x v="4"/>
  </r>
  <r>
    <x v="480"/>
    <x v="102"/>
    <x v="39"/>
    <x v="475"/>
    <x v="1"/>
    <x v="0"/>
    <x v="1"/>
    <x v="80"/>
    <x v="39"/>
    <x v="1"/>
    <x v="1"/>
    <x v="0"/>
    <x v="0"/>
  </r>
  <r>
    <x v="481"/>
    <x v="261"/>
    <x v="29"/>
    <x v="476"/>
    <x v="2"/>
    <x v="1"/>
    <x v="0"/>
    <x v="74"/>
    <x v="29"/>
    <x v="1"/>
    <x v="3"/>
    <x v="1"/>
    <x v="2"/>
  </r>
  <r>
    <x v="482"/>
    <x v="254"/>
    <x v="3"/>
    <x v="477"/>
    <x v="4"/>
    <x v="2"/>
    <x v="0"/>
    <x v="81"/>
    <x v="3"/>
    <x v="2"/>
    <x v="2"/>
    <x v="2"/>
    <x v="12"/>
  </r>
  <r>
    <x v="483"/>
    <x v="195"/>
    <x v="17"/>
    <x v="478"/>
    <x v="5"/>
    <x v="0"/>
    <x v="0"/>
    <x v="96"/>
    <x v="17"/>
    <x v="6"/>
    <x v="3"/>
    <x v="0"/>
    <x v="21"/>
  </r>
  <r>
    <x v="484"/>
    <x v="61"/>
    <x v="33"/>
    <x v="479"/>
    <x v="5"/>
    <x v="1"/>
    <x v="0"/>
    <x v="57"/>
    <x v="33"/>
    <x v="6"/>
    <x v="0"/>
    <x v="1"/>
    <x v="8"/>
  </r>
  <r>
    <x v="485"/>
    <x v="144"/>
    <x v="9"/>
    <x v="480"/>
    <x v="6"/>
    <x v="0"/>
    <x v="1"/>
    <x v="47"/>
    <x v="9"/>
    <x v="1"/>
    <x v="3"/>
    <x v="0"/>
    <x v="28"/>
  </r>
  <r>
    <x v="486"/>
    <x v="80"/>
    <x v="12"/>
    <x v="481"/>
    <x v="6"/>
    <x v="1"/>
    <x v="0"/>
    <x v="86"/>
    <x v="12"/>
    <x v="5"/>
    <x v="2"/>
    <x v="1"/>
    <x v="23"/>
  </r>
  <r>
    <x v="487"/>
    <x v="165"/>
    <x v="18"/>
    <x v="482"/>
    <x v="1"/>
    <x v="0"/>
    <x v="0"/>
    <x v="4"/>
    <x v="18"/>
    <x v="6"/>
    <x v="2"/>
    <x v="0"/>
    <x v="16"/>
  </r>
  <r>
    <x v="488"/>
    <x v="141"/>
    <x v="34"/>
    <x v="483"/>
    <x v="1"/>
    <x v="2"/>
    <x v="2"/>
    <x v="99"/>
    <x v="34"/>
    <x v="3"/>
    <x v="0"/>
    <x v="2"/>
    <x v="14"/>
  </r>
  <r>
    <x v="489"/>
    <x v="232"/>
    <x v="18"/>
    <x v="484"/>
    <x v="2"/>
    <x v="3"/>
    <x v="0"/>
    <x v="72"/>
    <x v="18"/>
    <x v="6"/>
    <x v="2"/>
    <x v="3"/>
    <x v="11"/>
  </r>
  <r>
    <x v="490"/>
    <x v="262"/>
    <x v="23"/>
    <x v="485"/>
    <x v="6"/>
    <x v="3"/>
    <x v="0"/>
    <x v="58"/>
    <x v="23"/>
    <x v="6"/>
    <x v="3"/>
    <x v="3"/>
    <x v="27"/>
  </r>
  <r>
    <x v="491"/>
    <x v="137"/>
    <x v="25"/>
    <x v="486"/>
    <x v="3"/>
    <x v="0"/>
    <x v="0"/>
    <x v="82"/>
    <x v="25"/>
    <x v="5"/>
    <x v="3"/>
    <x v="0"/>
    <x v="29"/>
  </r>
  <r>
    <x v="492"/>
    <x v="47"/>
    <x v="18"/>
    <x v="487"/>
    <x v="4"/>
    <x v="3"/>
    <x v="0"/>
    <x v="100"/>
    <x v="18"/>
    <x v="6"/>
    <x v="2"/>
    <x v="3"/>
    <x v="18"/>
  </r>
  <r>
    <x v="493"/>
    <x v="170"/>
    <x v="17"/>
    <x v="488"/>
    <x v="4"/>
    <x v="1"/>
    <x v="0"/>
    <x v="37"/>
    <x v="17"/>
    <x v="6"/>
    <x v="3"/>
    <x v="1"/>
    <x v="15"/>
  </r>
  <r>
    <x v="494"/>
    <x v="131"/>
    <x v="18"/>
    <x v="489"/>
    <x v="1"/>
    <x v="1"/>
    <x v="0"/>
    <x v="98"/>
    <x v="18"/>
    <x v="6"/>
    <x v="2"/>
    <x v="1"/>
    <x v="9"/>
  </r>
  <r>
    <x v="495"/>
    <x v="263"/>
    <x v="21"/>
    <x v="490"/>
    <x v="7"/>
    <x v="0"/>
    <x v="0"/>
    <x v="95"/>
    <x v="21"/>
    <x v="5"/>
    <x v="2"/>
    <x v="0"/>
    <x v="0"/>
  </r>
  <r>
    <x v="496"/>
    <x v="264"/>
    <x v="39"/>
    <x v="491"/>
    <x v="7"/>
    <x v="1"/>
    <x v="0"/>
    <x v="4"/>
    <x v="39"/>
    <x v="1"/>
    <x v="1"/>
    <x v="1"/>
    <x v="4"/>
  </r>
  <r>
    <x v="497"/>
    <x v="265"/>
    <x v="32"/>
    <x v="492"/>
    <x v="3"/>
    <x v="1"/>
    <x v="0"/>
    <x v="45"/>
    <x v="32"/>
    <x v="4"/>
    <x v="2"/>
    <x v="1"/>
    <x v="27"/>
  </r>
  <r>
    <x v="498"/>
    <x v="16"/>
    <x v="20"/>
    <x v="493"/>
    <x v="6"/>
    <x v="0"/>
    <x v="0"/>
    <x v="3"/>
    <x v="20"/>
    <x v="0"/>
    <x v="3"/>
    <x v="0"/>
    <x v="12"/>
  </r>
  <r>
    <x v="499"/>
    <x v="266"/>
    <x v="33"/>
    <x v="494"/>
    <x v="7"/>
    <x v="3"/>
    <x v="0"/>
    <x v="28"/>
    <x v="33"/>
    <x v="6"/>
    <x v="0"/>
    <x v="3"/>
    <x v="29"/>
  </r>
  <r>
    <x v="500"/>
    <x v="267"/>
    <x v="23"/>
    <x v="495"/>
    <x v="9"/>
    <x v="3"/>
    <x v="2"/>
    <x v="1"/>
    <x v="23"/>
    <x v="6"/>
    <x v="3"/>
    <x v="3"/>
    <x v="3"/>
  </r>
  <r>
    <x v="501"/>
    <x v="268"/>
    <x v="12"/>
    <x v="496"/>
    <x v="8"/>
    <x v="3"/>
    <x v="2"/>
    <x v="54"/>
    <x v="12"/>
    <x v="5"/>
    <x v="2"/>
    <x v="3"/>
    <x v="7"/>
  </r>
  <r>
    <x v="502"/>
    <x v="269"/>
    <x v="10"/>
    <x v="497"/>
    <x v="9"/>
    <x v="3"/>
    <x v="2"/>
    <x v="1"/>
    <x v="10"/>
    <x v="1"/>
    <x v="2"/>
    <x v="3"/>
    <x v="8"/>
  </r>
  <r>
    <x v="503"/>
    <x v="270"/>
    <x v="6"/>
    <x v="498"/>
    <x v="8"/>
    <x v="3"/>
    <x v="2"/>
    <x v="62"/>
    <x v="6"/>
    <x v="2"/>
    <x v="3"/>
    <x v="3"/>
    <x v="8"/>
  </r>
  <r>
    <x v="504"/>
    <x v="271"/>
    <x v="13"/>
    <x v="499"/>
    <x v="8"/>
    <x v="3"/>
    <x v="2"/>
    <x v="3"/>
    <x v="13"/>
    <x v="3"/>
    <x v="1"/>
    <x v="3"/>
    <x v="24"/>
  </r>
  <r>
    <x v="505"/>
    <x v="272"/>
    <x v="14"/>
    <x v="500"/>
    <x v="0"/>
    <x v="3"/>
    <x v="2"/>
    <x v="42"/>
    <x v="14"/>
    <x v="2"/>
    <x v="2"/>
    <x v="3"/>
    <x v="0"/>
  </r>
  <r>
    <x v="506"/>
    <x v="273"/>
    <x v="21"/>
    <x v="501"/>
    <x v="9"/>
    <x v="3"/>
    <x v="2"/>
    <x v="80"/>
    <x v="21"/>
    <x v="5"/>
    <x v="2"/>
    <x v="3"/>
    <x v="20"/>
  </r>
  <r>
    <x v="507"/>
    <x v="274"/>
    <x v="25"/>
    <x v="502"/>
    <x v="10"/>
    <x v="3"/>
    <x v="2"/>
    <x v="3"/>
    <x v="25"/>
    <x v="5"/>
    <x v="3"/>
    <x v="3"/>
    <x v="19"/>
  </r>
  <r>
    <x v="508"/>
    <x v="275"/>
    <x v="26"/>
    <x v="503"/>
    <x v="0"/>
    <x v="3"/>
    <x v="2"/>
    <x v="42"/>
    <x v="26"/>
    <x v="1"/>
    <x v="1"/>
    <x v="3"/>
    <x v="21"/>
  </r>
  <r>
    <x v="509"/>
    <x v="276"/>
    <x v="33"/>
    <x v="504"/>
    <x v="9"/>
    <x v="3"/>
    <x v="2"/>
    <x v="12"/>
    <x v="33"/>
    <x v="6"/>
    <x v="0"/>
    <x v="3"/>
    <x v="11"/>
  </r>
  <r>
    <x v="510"/>
    <x v="277"/>
    <x v="34"/>
    <x v="505"/>
    <x v="8"/>
    <x v="3"/>
    <x v="2"/>
    <x v="54"/>
    <x v="34"/>
    <x v="3"/>
    <x v="0"/>
    <x v="3"/>
    <x v="26"/>
  </r>
  <r>
    <x v="511"/>
    <x v="278"/>
    <x v="38"/>
    <x v="506"/>
    <x v="8"/>
    <x v="3"/>
    <x v="2"/>
    <x v="80"/>
    <x v="38"/>
    <x v="5"/>
    <x v="1"/>
    <x v="3"/>
    <x v="20"/>
  </r>
  <r>
    <x v="512"/>
    <x v="279"/>
    <x v="1"/>
    <x v="507"/>
    <x v="10"/>
    <x v="3"/>
    <x v="2"/>
    <x v="54"/>
    <x v="1"/>
    <x v="1"/>
    <x v="1"/>
    <x v="3"/>
    <x v="20"/>
  </r>
  <r>
    <x v="513"/>
    <x v="280"/>
    <x v="38"/>
    <x v="508"/>
    <x v="10"/>
    <x v="3"/>
    <x v="2"/>
    <x v="73"/>
    <x v="38"/>
    <x v="5"/>
    <x v="1"/>
    <x v="3"/>
    <x v="13"/>
  </r>
  <r>
    <x v="514"/>
    <x v="281"/>
    <x v="5"/>
    <x v="509"/>
    <x v="9"/>
    <x v="3"/>
    <x v="2"/>
    <x v="12"/>
    <x v="5"/>
    <x v="2"/>
    <x v="1"/>
    <x v="3"/>
    <x v="15"/>
  </r>
  <r>
    <x v="515"/>
    <x v="225"/>
    <x v="22"/>
    <x v="510"/>
    <x v="11"/>
    <x v="3"/>
    <x v="1"/>
    <x v="47"/>
    <x v="22"/>
    <x v="6"/>
    <x v="3"/>
    <x v="3"/>
    <x v="22"/>
  </r>
  <r>
    <x v="516"/>
    <x v="225"/>
    <x v="23"/>
    <x v="511"/>
    <x v="5"/>
    <x v="3"/>
    <x v="1"/>
    <x v="95"/>
    <x v="23"/>
    <x v="6"/>
    <x v="3"/>
    <x v="3"/>
    <x v="22"/>
  </r>
  <r>
    <x v="517"/>
    <x v="225"/>
    <x v="28"/>
    <x v="512"/>
    <x v="5"/>
    <x v="3"/>
    <x v="1"/>
    <x v="98"/>
    <x v="28"/>
    <x v="3"/>
    <x v="1"/>
    <x v="3"/>
    <x v="22"/>
  </r>
  <r>
    <x v="518"/>
    <x v="225"/>
    <x v="36"/>
    <x v="513"/>
    <x v="6"/>
    <x v="3"/>
    <x v="0"/>
    <x v="10"/>
    <x v="36"/>
    <x v="2"/>
    <x v="2"/>
    <x v="3"/>
    <x v="22"/>
  </r>
  <r>
    <x v="519"/>
    <x v="206"/>
    <x v="24"/>
    <x v="514"/>
    <x v="6"/>
    <x v="3"/>
    <x v="1"/>
    <x v="98"/>
    <x v="24"/>
    <x v="2"/>
    <x v="0"/>
    <x v="3"/>
    <x v="28"/>
  </r>
  <r>
    <x v="520"/>
    <x v="206"/>
    <x v="34"/>
    <x v="515"/>
    <x v="11"/>
    <x v="3"/>
    <x v="1"/>
    <x v="34"/>
    <x v="34"/>
    <x v="3"/>
    <x v="0"/>
    <x v="3"/>
    <x v="28"/>
  </r>
  <r>
    <x v="521"/>
    <x v="206"/>
    <x v="20"/>
    <x v="516"/>
    <x v="5"/>
    <x v="3"/>
    <x v="1"/>
    <x v="22"/>
    <x v="20"/>
    <x v="0"/>
    <x v="3"/>
    <x v="3"/>
    <x v="28"/>
  </r>
  <r>
    <x v="522"/>
    <x v="206"/>
    <x v="1"/>
    <x v="517"/>
    <x v="5"/>
    <x v="3"/>
    <x v="0"/>
    <x v="89"/>
    <x v="1"/>
    <x v="1"/>
    <x v="1"/>
    <x v="3"/>
    <x v="28"/>
  </r>
  <r>
    <x v="523"/>
    <x v="282"/>
    <x v="3"/>
    <x v="518"/>
    <x v="11"/>
    <x v="3"/>
    <x v="1"/>
    <x v="73"/>
    <x v="3"/>
    <x v="2"/>
    <x v="2"/>
    <x v="3"/>
    <x v="28"/>
  </r>
  <r>
    <x v="524"/>
    <x v="282"/>
    <x v="36"/>
    <x v="519"/>
    <x v="11"/>
    <x v="3"/>
    <x v="1"/>
    <x v="39"/>
    <x v="36"/>
    <x v="2"/>
    <x v="2"/>
    <x v="3"/>
    <x v="28"/>
  </r>
  <r>
    <x v="525"/>
    <x v="282"/>
    <x v="20"/>
    <x v="520"/>
    <x v="5"/>
    <x v="3"/>
    <x v="1"/>
    <x v="80"/>
    <x v="20"/>
    <x v="0"/>
    <x v="3"/>
    <x v="3"/>
    <x v="28"/>
  </r>
  <r>
    <x v="526"/>
    <x v="282"/>
    <x v="26"/>
    <x v="521"/>
    <x v="11"/>
    <x v="3"/>
    <x v="0"/>
    <x v="48"/>
    <x v="26"/>
    <x v="1"/>
    <x v="1"/>
    <x v="3"/>
    <x v="28"/>
  </r>
  <r>
    <x v="527"/>
    <x v="16"/>
    <x v="30"/>
    <x v="522"/>
    <x v="5"/>
    <x v="3"/>
    <x v="1"/>
    <x v="79"/>
    <x v="30"/>
    <x v="6"/>
    <x v="1"/>
    <x v="3"/>
    <x v="22"/>
  </r>
  <r>
    <x v="528"/>
    <x v="16"/>
    <x v="23"/>
    <x v="523"/>
    <x v="6"/>
    <x v="3"/>
    <x v="1"/>
    <x v="15"/>
    <x v="23"/>
    <x v="6"/>
    <x v="3"/>
    <x v="3"/>
    <x v="22"/>
  </r>
  <r>
    <x v="529"/>
    <x v="16"/>
    <x v="0"/>
    <x v="524"/>
    <x v="6"/>
    <x v="3"/>
    <x v="1"/>
    <x v="82"/>
    <x v="0"/>
    <x v="0"/>
    <x v="0"/>
    <x v="3"/>
    <x v="22"/>
  </r>
  <r>
    <x v="530"/>
    <x v="16"/>
    <x v="25"/>
    <x v="525"/>
    <x v="5"/>
    <x v="3"/>
    <x v="0"/>
    <x v="79"/>
    <x v="25"/>
    <x v="5"/>
    <x v="3"/>
    <x v="3"/>
    <x v="22"/>
  </r>
  <r>
    <x v="531"/>
    <x v="1"/>
    <x v="19"/>
    <x v="526"/>
    <x v="11"/>
    <x v="3"/>
    <x v="1"/>
    <x v="82"/>
    <x v="19"/>
    <x v="2"/>
    <x v="1"/>
    <x v="3"/>
    <x v="12"/>
  </r>
  <r>
    <x v="532"/>
    <x v="1"/>
    <x v="9"/>
    <x v="527"/>
    <x v="6"/>
    <x v="3"/>
    <x v="1"/>
    <x v="47"/>
    <x v="9"/>
    <x v="1"/>
    <x v="3"/>
    <x v="3"/>
    <x v="12"/>
  </r>
  <r>
    <x v="533"/>
    <x v="1"/>
    <x v="22"/>
    <x v="528"/>
    <x v="5"/>
    <x v="3"/>
    <x v="1"/>
    <x v="44"/>
    <x v="22"/>
    <x v="6"/>
    <x v="3"/>
    <x v="3"/>
    <x v="12"/>
  </r>
  <r>
    <x v="534"/>
    <x v="1"/>
    <x v="26"/>
    <x v="529"/>
    <x v="6"/>
    <x v="3"/>
    <x v="0"/>
    <x v="47"/>
    <x v="26"/>
    <x v="1"/>
    <x v="1"/>
    <x v="3"/>
    <x v="12"/>
  </r>
  <r>
    <x v="535"/>
    <x v="42"/>
    <x v="16"/>
    <x v="530"/>
    <x v="5"/>
    <x v="3"/>
    <x v="1"/>
    <x v="81"/>
    <x v="16"/>
    <x v="3"/>
    <x v="3"/>
    <x v="3"/>
    <x v="9"/>
  </r>
  <r>
    <x v="536"/>
    <x v="42"/>
    <x v="32"/>
    <x v="531"/>
    <x v="6"/>
    <x v="3"/>
    <x v="1"/>
    <x v="95"/>
    <x v="32"/>
    <x v="4"/>
    <x v="2"/>
    <x v="3"/>
    <x v="9"/>
  </r>
  <r>
    <x v="537"/>
    <x v="42"/>
    <x v="8"/>
    <x v="532"/>
    <x v="5"/>
    <x v="3"/>
    <x v="1"/>
    <x v="75"/>
    <x v="8"/>
    <x v="4"/>
    <x v="3"/>
    <x v="3"/>
    <x v="9"/>
  </r>
  <r>
    <x v="538"/>
    <x v="42"/>
    <x v="17"/>
    <x v="533"/>
    <x v="5"/>
    <x v="3"/>
    <x v="0"/>
    <x v="59"/>
    <x v="17"/>
    <x v="6"/>
    <x v="3"/>
    <x v="3"/>
    <x v="9"/>
  </r>
  <r>
    <x v="539"/>
    <x v="53"/>
    <x v="33"/>
    <x v="534"/>
    <x v="6"/>
    <x v="3"/>
    <x v="1"/>
    <x v="62"/>
    <x v="33"/>
    <x v="6"/>
    <x v="0"/>
    <x v="3"/>
    <x v="10"/>
  </r>
  <r>
    <x v="540"/>
    <x v="53"/>
    <x v="38"/>
    <x v="535"/>
    <x v="11"/>
    <x v="3"/>
    <x v="1"/>
    <x v="0"/>
    <x v="38"/>
    <x v="5"/>
    <x v="1"/>
    <x v="3"/>
    <x v="10"/>
  </r>
  <r>
    <x v="541"/>
    <x v="53"/>
    <x v="35"/>
    <x v="536"/>
    <x v="5"/>
    <x v="3"/>
    <x v="1"/>
    <x v="39"/>
    <x v="35"/>
    <x v="3"/>
    <x v="3"/>
    <x v="3"/>
    <x v="10"/>
  </r>
  <r>
    <x v="542"/>
    <x v="53"/>
    <x v="5"/>
    <x v="537"/>
    <x v="11"/>
    <x v="3"/>
    <x v="0"/>
    <x v="82"/>
    <x v="5"/>
    <x v="2"/>
    <x v="1"/>
    <x v="3"/>
    <x v="10"/>
  </r>
  <r>
    <x v="543"/>
    <x v="243"/>
    <x v="12"/>
    <x v="538"/>
    <x v="6"/>
    <x v="3"/>
    <x v="1"/>
    <x v="85"/>
    <x v="12"/>
    <x v="5"/>
    <x v="2"/>
    <x v="3"/>
    <x v="20"/>
  </r>
  <r>
    <x v="544"/>
    <x v="243"/>
    <x v="39"/>
    <x v="539"/>
    <x v="11"/>
    <x v="3"/>
    <x v="1"/>
    <x v="89"/>
    <x v="39"/>
    <x v="1"/>
    <x v="1"/>
    <x v="3"/>
    <x v="20"/>
  </r>
  <r>
    <x v="545"/>
    <x v="243"/>
    <x v="0"/>
    <x v="540"/>
    <x v="11"/>
    <x v="3"/>
    <x v="1"/>
    <x v="89"/>
    <x v="0"/>
    <x v="0"/>
    <x v="0"/>
    <x v="3"/>
    <x v="20"/>
  </r>
  <r>
    <x v="546"/>
    <x v="243"/>
    <x v="9"/>
    <x v="541"/>
    <x v="11"/>
    <x v="3"/>
    <x v="0"/>
    <x v="76"/>
    <x v="9"/>
    <x v="1"/>
    <x v="3"/>
    <x v="3"/>
    <x v="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47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1"/>
    <x v="1"/>
    <x v="1"/>
    <x v="1"/>
    <x v="0"/>
  </r>
  <r>
    <x v="2"/>
    <x v="2"/>
    <x v="2"/>
    <x v="2"/>
    <x v="2"/>
    <x v="0"/>
    <x v="0"/>
    <x v="2"/>
    <x v="2"/>
    <x v="1"/>
    <x v="1"/>
    <x v="0"/>
    <x v="2"/>
    <x v="2"/>
    <x v="2"/>
    <x v="0"/>
  </r>
  <r>
    <x v="3"/>
    <x v="3"/>
    <x v="3"/>
    <x v="3"/>
    <x v="1"/>
    <x v="2"/>
    <x v="0"/>
    <x v="3"/>
    <x v="3"/>
    <x v="2"/>
    <x v="2"/>
    <x v="2"/>
    <x v="0"/>
    <x v="1"/>
    <x v="1"/>
    <x v="0"/>
  </r>
  <r>
    <x v="4"/>
    <x v="4"/>
    <x v="0"/>
    <x v="4"/>
    <x v="3"/>
    <x v="1"/>
    <x v="0"/>
    <x v="4"/>
    <x v="0"/>
    <x v="0"/>
    <x v="0"/>
    <x v="1"/>
    <x v="3"/>
    <x v="3"/>
    <x v="3"/>
    <x v="0"/>
  </r>
  <r>
    <x v="5"/>
    <x v="5"/>
    <x v="4"/>
    <x v="5"/>
    <x v="3"/>
    <x v="1"/>
    <x v="0"/>
    <x v="5"/>
    <x v="4"/>
    <x v="3"/>
    <x v="3"/>
    <x v="1"/>
    <x v="4"/>
    <x v="3"/>
    <x v="3"/>
    <x v="0"/>
  </r>
  <r>
    <x v="6"/>
    <x v="6"/>
    <x v="5"/>
    <x v="6"/>
    <x v="3"/>
    <x v="0"/>
    <x v="0"/>
    <x v="6"/>
    <x v="5"/>
    <x v="2"/>
    <x v="1"/>
    <x v="0"/>
    <x v="5"/>
    <x v="4"/>
    <x v="4"/>
    <x v="0"/>
  </r>
  <r>
    <x v="7"/>
    <x v="7"/>
    <x v="6"/>
    <x v="7"/>
    <x v="3"/>
    <x v="1"/>
    <x v="0"/>
    <x v="7"/>
    <x v="6"/>
    <x v="2"/>
    <x v="3"/>
    <x v="1"/>
    <x v="6"/>
    <x v="4"/>
    <x v="4"/>
    <x v="0"/>
  </r>
  <r>
    <x v="8"/>
    <x v="8"/>
    <x v="7"/>
    <x v="8"/>
    <x v="4"/>
    <x v="1"/>
    <x v="0"/>
    <x v="8"/>
    <x v="7"/>
    <x v="3"/>
    <x v="0"/>
    <x v="1"/>
    <x v="7"/>
    <x v="5"/>
    <x v="5"/>
    <x v="0"/>
  </r>
  <r>
    <x v="9"/>
    <x v="9"/>
    <x v="8"/>
    <x v="9"/>
    <x v="5"/>
    <x v="1"/>
    <x v="0"/>
    <x v="9"/>
    <x v="8"/>
    <x v="4"/>
    <x v="3"/>
    <x v="1"/>
    <x v="8"/>
    <x v="6"/>
    <x v="6"/>
    <x v="0"/>
  </r>
  <r>
    <x v="10"/>
    <x v="10"/>
    <x v="9"/>
    <x v="10"/>
    <x v="1"/>
    <x v="1"/>
    <x v="0"/>
    <x v="10"/>
    <x v="9"/>
    <x v="1"/>
    <x v="3"/>
    <x v="1"/>
    <x v="9"/>
    <x v="7"/>
    <x v="7"/>
    <x v="0"/>
  </r>
  <r>
    <x v="11"/>
    <x v="11"/>
    <x v="10"/>
    <x v="11"/>
    <x v="0"/>
    <x v="3"/>
    <x v="1"/>
    <x v="8"/>
    <x v="10"/>
    <x v="1"/>
    <x v="2"/>
    <x v="3"/>
    <x v="10"/>
    <x v="0"/>
    <x v="0"/>
    <x v="0"/>
  </r>
  <r>
    <x v="12"/>
    <x v="12"/>
    <x v="11"/>
    <x v="12"/>
    <x v="1"/>
    <x v="0"/>
    <x v="0"/>
    <x v="11"/>
    <x v="11"/>
    <x v="0"/>
    <x v="3"/>
    <x v="0"/>
    <x v="2"/>
    <x v="1"/>
    <x v="1"/>
    <x v="0"/>
  </r>
  <r>
    <x v="13"/>
    <x v="13"/>
    <x v="4"/>
    <x v="13"/>
    <x v="1"/>
    <x v="1"/>
    <x v="0"/>
    <x v="12"/>
    <x v="4"/>
    <x v="3"/>
    <x v="3"/>
    <x v="1"/>
    <x v="11"/>
    <x v="8"/>
    <x v="8"/>
    <x v="0"/>
  </r>
  <r>
    <x v="14"/>
    <x v="14"/>
    <x v="6"/>
    <x v="14"/>
    <x v="2"/>
    <x v="1"/>
    <x v="0"/>
    <x v="13"/>
    <x v="6"/>
    <x v="2"/>
    <x v="3"/>
    <x v="1"/>
    <x v="12"/>
    <x v="9"/>
    <x v="9"/>
    <x v="0"/>
  </r>
  <r>
    <x v="15"/>
    <x v="15"/>
    <x v="12"/>
    <x v="15"/>
    <x v="3"/>
    <x v="1"/>
    <x v="0"/>
    <x v="14"/>
    <x v="12"/>
    <x v="5"/>
    <x v="2"/>
    <x v="1"/>
    <x v="12"/>
    <x v="4"/>
    <x v="4"/>
    <x v="0"/>
  </r>
  <r>
    <x v="16"/>
    <x v="16"/>
    <x v="11"/>
    <x v="16"/>
    <x v="3"/>
    <x v="2"/>
    <x v="0"/>
    <x v="6"/>
    <x v="11"/>
    <x v="0"/>
    <x v="3"/>
    <x v="2"/>
    <x v="13"/>
    <x v="4"/>
    <x v="4"/>
    <x v="0"/>
  </r>
  <r>
    <x v="17"/>
    <x v="17"/>
    <x v="13"/>
    <x v="17"/>
    <x v="0"/>
    <x v="3"/>
    <x v="0"/>
    <x v="15"/>
    <x v="13"/>
    <x v="3"/>
    <x v="1"/>
    <x v="3"/>
    <x v="13"/>
    <x v="0"/>
    <x v="0"/>
    <x v="0"/>
  </r>
  <r>
    <x v="18"/>
    <x v="18"/>
    <x v="14"/>
    <x v="18"/>
    <x v="0"/>
    <x v="1"/>
    <x v="0"/>
    <x v="16"/>
    <x v="14"/>
    <x v="2"/>
    <x v="2"/>
    <x v="1"/>
    <x v="14"/>
    <x v="10"/>
    <x v="10"/>
    <x v="0"/>
  </r>
  <r>
    <x v="19"/>
    <x v="19"/>
    <x v="15"/>
    <x v="19"/>
    <x v="1"/>
    <x v="1"/>
    <x v="0"/>
    <x v="7"/>
    <x v="15"/>
    <x v="6"/>
    <x v="3"/>
    <x v="1"/>
    <x v="2"/>
    <x v="1"/>
    <x v="1"/>
    <x v="0"/>
  </r>
  <r>
    <x v="20"/>
    <x v="20"/>
    <x v="16"/>
    <x v="20"/>
    <x v="3"/>
    <x v="3"/>
    <x v="0"/>
    <x v="17"/>
    <x v="16"/>
    <x v="3"/>
    <x v="3"/>
    <x v="3"/>
    <x v="15"/>
    <x v="4"/>
    <x v="4"/>
    <x v="0"/>
  </r>
  <r>
    <x v="21"/>
    <x v="21"/>
    <x v="17"/>
    <x v="21"/>
    <x v="3"/>
    <x v="1"/>
    <x v="0"/>
    <x v="18"/>
    <x v="17"/>
    <x v="6"/>
    <x v="3"/>
    <x v="1"/>
    <x v="16"/>
    <x v="4"/>
    <x v="4"/>
    <x v="0"/>
  </r>
  <r>
    <x v="22"/>
    <x v="22"/>
    <x v="11"/>
    <x v="22"/>
    <x v="4"/>
    <x v="1"/>
    <x v="0"/>
    <x v="5"/>
    <x v="11"/>
    <x v="0"/>
    <x v="3"/>
    <x v="1"/>
    <x v="17"/>
    <x v="5"/>
    <x v="5"/>
    <x v="0"/>
  </r>
  <r>
    <x v="23"/>
    <x v="23"/>
    <x v="18"/>
    <x v="23"/>
    <x v="4"/>
    <x v="1"/>
    <x v="2"/>
    <x v="19"/>
    <x v="18"/>
    <x v="6"/>
    <x v="2"/>
    <x v="1"/>
    <x v="16"/>
    <x v="11"/>
    <x v="11"/>
    <x v="0"/>
  </r>
  <r>
    <x v="24"/>
    <x v="24"/>
    <x v="3"/>
    <x v="24"/>
    <x v="4"/>
    <x v="0"/>
    <x v="0"/>
    <x v="20"/>
    <x v="3"/>
    <x v="2"/>
    <x v="2"/>
    <x v="0"/>
    <x v="18"/>
    <x v="12"/>
    <x v="12"/>
    <x v="0"/>
  </r>
  <r>
    <x v="25"/>
    <x v="25"/>
    <x v="19"/>
    <x v="25"/>
    <x v="4"/>
    <x v="1"/>
    <x v="0"/>
    <x v="21"/>
    <x v="19"/>
    <x v="2"/>
    <x v="1"/>
    <x v="1"/>
    <x v="6"/>
    <x v="5"/>
    <x v="5"/>
    <x v="0"/>
  </r>
  <r>
    <x v="26"/>
    <x v="26"/>
    <x v="20"/>
    <x v="26"/>
    <x v="1"/>
    <x v="3"/>
    <x v="0"/>
    <x v="22"/>
    <x v="20"/>
    <x v="0"/>
    <x v="3"/>
    <x v="3"/>
    <x v="14"/>
    <x v="1"/>
    <x v="1"/>
    <x v="0"/>
  </r>
  <r>
    <x v="27"/>
    <x v="27"/>
    <x v="21"/>
    <x v="27"/>
    <x v="3"/>
    <x v="1"/>
    <x v="0"/>
    <x v="23"/>
    <x v="21"/>
    <x v="5"/>
    <x v="2"/>
    <x v="1"/>
    <x v="19"/>
    <x v="13"/>
    <x v="13"/>
    <x v="0"/>
  </r>
  <r>
    <x v="28"/>
    <x v="28"/>
    <x v="22"/>
    <x v="28"/>
    <x v="3"/>
    <x v="0"/>
    <x v="0"/>
    <x v="24"/>
    <x v="22"/>
    <x v="6"/>
    <x v="3"/>
    <x v="0"/>
    <x v="20"/>
    <x v="4"/>
    <x v="4"/>
    <x v="0"/>
  </r>
  <r>
    <x v="29"/>
    <x v="29"/>
    <x v="23"/>
    <x v="29"/>
    <x v="2"/>
    <x v="1"/>
    <x v="0"/>
    <x v="25"/>
    <x v="23"/>
    <x v="6"/>
    <x v="3"/>
    <x v="1"/>
    <x v="14"/>
    <x v="10"/>
    <x v="10"/>
    <x v="0"/>
  </r>
  <r>
    <x v="30"/>
    <x v="30"/>
    <x v="24"/>
    <x v="30"/>
    <x v="6"/>
    <x v="3"/>
    <x v="0"/>
    <x v="26"/>
    <x v="24"/>
    <x v="2"/>
    <x v="0"/>
    <x v="3"/>
    <x v="12"/>
    <x v="14"/>
    <x v="14"/>
    <x v="0"/>
  </r>
  <r>
    <x v="31"/>
    <x v="31"/>
    <x v="24"/>
    <x v="31"/>
    <x v="4"/>
    <x v="1"/>
    <x v="0"/>
    <x v="27"/>
    <x v="24"/>
    <x v="2"/>
    <x v="0"/>
    <x v="1"/>
    <x v="15"/>
    <x v="5"/>
    <x v="5"/>
    <x v="0"/>
  </r>
  <r>
    <x v="32"/>
    <x v="32"/>
    <x v="25"/>
    <x v="32"/>
    <x v="7"/>
    <x v="1"/>
    <x v="0"/>
    <x v="28"/>
    <x v="25"/>
    <x v="5"/>
    <x v="3"/>
    <x v="1"/>
    <x v="16"/>
    <x v="8"/>
    <x v="8"/>
    <x v="0"/>
  </r>
  <r>
    <x v="33"/>
    <x v="33"/>
    <x v="10"/>
    <x v="33"/>
    <x v="1"/>
    <x v="0"/>
    <x v="0"/>
    <x v="15"/>
    <x v="10"/>
    <x v="1"/>
    <x v="2"/>
    <x v="0"/>
    <x v="7"/>
    <x v="1"/>
    <x v="1"/>
    <x v="0"/>
  </r>
  <r>
    <x v="34"/>
    <x v="34"/>
    <x v="26"/>
    <x v="34"/>
    <x v="5"/>
    <x v="2"/>
    <x v="0"/>
    <x v="29"/>
    <x v="26"/>
    <x v="1"/>
    <x v="1"/>
    <x v="2"/>
    <x v="17"/>
    <x v="15"/>
    <x v="15"/>
    <x v="0"/>
  </r>
  <r>
    <x v="35"/>
    <x v="35"/>
    <x v="7"/>
    <x v="35"/>
    <x v="7"/>
    <x v="3"/>
    <x v="0"/>
    <x v="30"/>
    <x v="7"/>
    <x v="3"/>
    <x v="0"/>
    <x v="3"/>
    <x v="21"/>
    <x v="16"/>
    <x v="16"/>
    <x v="0"/>
  </r>
  <r>
    <x v="36"/>
    <x v="36"/>
    <x v="0"/>
    <x v="36"/>
    <x v="1"/>
    <x v="1"/>
    <x v="0"/>
    <x v="31"/>
    <x v="0"/>
    <x v="0"/>
    <x v="0"/>
    <x v="1"/>
    <x v="21"/>
    <x v="17"/>
    <x v="17"/>
    <x v="0"/>
  </r>
  <r>
    <x v="37"/>
    <x v="20"/>
    <x v="0"/>
    <x v="37"/>
    <x v="0"/>
    <x v="3"/>
    <x v="0"/>
    <x v="4"/>
    <x v="0"/>
    <x v="0"/>
    <x v="0"/>
    <x v="3"/>
    <x v="17"/>
    <x v="0"/>
    <x v="0"/>
    <x v="0"/>
  </r>
  <r>
    <x v="38"/>
    <x v="37"/>
    <x v="18"/>
    <x v="38"/>
    <x v="2"/>
    <x v="3"/>
    <x v="0"/>
    <x v="27"/>
    <x v="18"/>
    <x v="6"/>
    <x v="2"/>
    <x v="3"/>
    <x v="7"/>
    <x v="9"/>
    <x v="9"/>
    <x v="0"/>
  </r>
  <r>
    <x v="39"/>
    <x v="38"/>
    <x v="16"/>
    <x v="39"/>
    <x v="2"/>
    <x v="1"/>
    <x v="0"/>
    <x v="32"/>
    <x v="16"/>
    <x v="3"/>
    <x v="3"/>
    <x v="1"/>
    <x v="14"/>
    <x v="9"/>
    <x v="9"/>
    <x v="0"/>
  </r>
  <r>
    <x v="40"/>
    <x v="39"/>
    <x v="24"/>
    <x v="40"/>
    <x v="2"/>
    <x v="1"/>
    <x v="0"/>
    <x v="33"/>
    <x v="24"/>
    <x v="2"/>
    <x v="0"/>
    <x v="1"/>
    <x v="12"/>
    <x v="14"/>
    <x v="14"/>
    <x v="0"/>
  </r>
  <r>
    <x v="41"/>
    <x v="40"/>
    <x v="14"/>
    <x v="41"/>
    <x v="3"/>
    <x v="1"/>
    <x v="0"/>
    <x v="30"/>
    <x v="14"/>
    <x v="2"/>
    <x v="2"/>
    <x v="1"/>
    <x v="22"/>
    <x v="4"/>
    <x v="4"/>
    <x v="0"/>
  </r>
  <r>
    <x v="42"/>
    <x v="41"/>
    <x v="14"/>
    <x v="42"/>
    <x v="2"/>
    <x v="1"/>
    <x v="0"/>
    <x v="34"/>
    <x v="14"/>
    <x v="2"/>
    <x v="2"/>
    <x v="1"/>
    <x v="23"/>
    <x v="10"/>
    <x v="10"/>
    <x v="0"/>
  </r>
  <r>
    <x v="43"/>
    <x v="42"/>
    <x v="1"/>
    <x v="43"/>
    <x v="7"/>
    <x v="1"/>
    <x v="0"/>
    <x v="35"/>
    <x v="1"/>
    <x v="1"/>
    <x v="1"/>
    <x v="1"/>
    <x v="9"/>
    <x v="18"/>
    <x v="18"/>
    <x v="0"/>
  </r>
  <r>
    <x v="44"/>
    <x v="43"/>
    <x v="19"/>
    <x v="44"/>
    <x v="3"/>
    <x v="2"/>
    <x v="0"/>
    <x v="36"/>
    <x v="19"/>
    <x v="2"/>
    <x v="1"/>
    <x v="2"/>
    <x v="2"/>
    <x v="19"/>
    <x v="19"/>
    <x v="0"/>
  </r>
  <r>
    <x v="45"/>
    <x v="44"/>
    <x v="27"/>
    <x v="45"/>
    <x v="5"/>
    <x v="0"/>
    <x v="0"/>
    <x v="37"/>
    <x v="27"/>
    <x v="3"/>
    <x v="0"/>
    <x v="0"/>
    <x v="5"/>
    <x v="6"/>
    <x v="6"/>
    <x v="0"/>
  </r>
  <r>
    <x v="46"/>
    <x v="45"/>
    <x v="2"/>
    <x v="46"/>
    <x v="8"/>
    <x v="2"/>
    <x v="0"/>
    <x v="18"/>
    <x v="2"/>
    <x v="1"/>
    <x v="1"/>
    <x v="2"/>
    <x v="7"/>
    <x v="20"/>
    <x v="20"/>
    <x v="0"/>
  </r>
  <r>
    <x v="47"/>
    <x v="46"/>
    <x v="27"/>
    <x v="47"/>
    <x v="5"/>
    <x v="1"/>
    <x v="0"/>
    <x v="38"/>
    <x v="27"/>
    <x v="3"/>
    <x v="0"/>
    <x v="1"/>
    <x v="3"/>
    <x v="6"/>
    <x v="6"/>
    <x v="0"/>
  </r>
  <r>
    <x v="48"/>
    <x v="47"/>
    <x v="18"/>
    <x v="48"/>
    <x v="1"/>
    <x v="0"/>
    <x v="0"/>
    <x v="39"/>
    <x v="18"/>
    <x v="6"/>
    <x v="2"/>
    <x v="0"/>
    <x v="23"/>
    <x v="1"/>
    <x v="1"/>
    <x v="0"/>
  </r>
  <r>
    <x v="49"/>
    <x v="48"/>
    <x v="9"/>
    <x v="49"/>
    <x v="1"/>
    <x v="1"/>
    <x v="0"/>
    <x v="26"/>
    <x v="9"/>
    <x v="1"/>
    <x v="3"/>
    <x v="1"/>
    <x v="12"/>
    <x v="7"/>
    <x v="7"/>
    <x v="0"/>
  </r>
  <r>
    <x v="50"/>
    <x v="49"/>
    <x v="24"/>
    <x v="50"/>
    <x v="3"/>
    <x v="1"/>
    <x v="0"/>
    <x v="40"/>
    <x v="24"/>
    <x v="2"/>
    <x v="0"/>
    <x v="1"/>
    <x v="10"/>
    <x v="4"/>
    <x v="4"/>
    <x v="0"/>
  </r>
  <r>
    <x v="51"/>
    <x v="40"/>
    <x v="28"/>
    <x v="51"/>
    <x v="8"/>
    <x v="1"/>
    <x v="0"/>
    <x v="41"/>
    <x v="28"/>
    <x v="3"/>
    <x v="1"/>
    <x v="1"/>
    <x v="7"/>
    <x v="21"/>
    <x v="21"/>
    <x v="1"/>
  </r>
  <r>
    <x v="52"/>
    <x v="37"/>
    <x v="29"/>
    <x v="52"/>
    <x v="4"/>
    <x v="1"/>
    <x v="0"/>
    <x v="8"/>
    <x v="29"/>
    <x v="1"/>
    <x v="3"/>
    <x v="1"/>
    <x v="24"/>
    <x v="5"/>
    <x v="5"/>
    <x v="0"/>
  </r>
  <r>
    <x v="53"/>
    <x v="50"/>
    <x v="4"/>
    <x v="53"/>
    <x v="7"/>
    <x v="0"/>
    <x v="0"/>
    <x v="42"/>
    <x v="4"/>
    <x v="3"/>
    <x v="3"/>
    <x v="0"/>
    <x v="5"/>
    <x v="18"/>
    <x v="18"/>
    <x v="0"/>
  </r>
  <r>
    <x v="54"/>
    <x v="51"/>
    <x v="12"/>
    <x v="54"/>
    <x v="5"/>
    <x v="1"/>
    <x v="0"/>
    <x v="43"/>
    <x v="12"/>
    <x v="5"/>
    <x v="2"/>
    <x v="1"/>
    <x v="9"/>
    <x v="6"/>
    <x v="6"/>
    <x v="0"/>
  </r>
  <r>
    <x v="55"/>
    <x v="4"/>
    <x v="30"/>
    <x v="55"/>
    <x v="3"/>
    <x v="1"/>
    <x v="0"/>
    <x v="44"/>
    <x v="30"/>
    <x v="6"/>
    <x v="1"/>
    <x v="1"/>
    <x v="5"/>
    <x v="4"/>
    <x v="4"/>
    <x v="0"/>
  </r>
  <r>
    <x v="56"/>
    <x v="52"/>
    <x v="31"/>
    <x v="56"/>
    <x v="5"/>
    <x v="0"/>
    <x v="0"/>
    <x v="45"/>
    <x v="31"/>
    <x v="3"/>
    <x v="1"/>
    <x v="0"/>
    <x v="25"/>
    <x v="6"/>
    <x v="6"/>
    <x v="0"/>
  </r>
  <r>
    <x v="57"/>
    <x v="53"/>
    <x v="2"/>
    <x v="57"/>
    <x v="5"/>
    <x v="1"/>
    <x v="0"/>
    <x v="6"/>
    <x v="2"/>
    <x v="1"/>
    <x v="1"/>
    <x v="1"/>
    <x v="26"/>
    <x v="6"/>
    <x v="6"/>
    <x v="0"/>
  </r>
  <r>
    <x v="58"/>
    <x v="54"/>
    <x v="21"/>
    <x v="58"/>
    <x v="1"/>
    <x v="0"/>
    <x v="0"/>
    <x v="16"/>
    <x v="21"/>
    <x v="5"/>
    <x v="2"/>
    <x v="0"/>
    <x v="1"/>
    <x v="1"/>
    <x v="1"/>
    <x v="0"/>
  </r>
  <r>
    <x v="59"/>
    <x v="55"/>
    <x v="32"/>
    <x v="59"/>
    <x v="0"/>
    <x v="1"/>
    <x v="0"/>
    <x v="46"/>
    <x v="32"/>
    <x v="4"/>
    <x v="2"/>
    <x v="1"/>
    <x v="3"/>
    <x v="0"/>
    <x v="0"/>
    <x v="0"/>
  </r>
  <r>
    <x v="60"/>
    <x v="56"/>
    <x v="15"/>
    <x v="60"/>
    <x v="1"/>
    <x v="2"/>
    <x v="0"/>
    <x v="47"/>
    <x v="15"/>
    <x v="6"/>
    <x v="3"/>
    <x v="2"/>
    <x v="20"/>
    <x v="1"/>
    <x v="1"/>
    <x v="0"/>
  </r>
  <r>
    <x v="61"/>
    <x v="57"/>
    <x v="4"/>
    <x v="61"/>
    <x v="3"/>
    <x v="0"/>
    <x v="0"/>
    <x v="8"/>
    <x v="4"/>
    <x v="3"/>
    <x v="3"/>
    <x v="0"/>
    <x v="26"/>
    <x v="4"/>
    <x v="4"/>
    <x v="0"/>
  </r>
  <r>
    <x v="62"/>
    <x v="58"/>
    <x v="32"/>
    <x v="62"/>
    <x v="5"/>
    <x v="1"/>
    <x v="0"/>
    <x v="48"/>
    <x v="32"/>
    <x v="4"/>
    <x v="2"/>
    <x v="1"/>
    <x v="15"/>
    <x v="6"/>
    <x v="6"/>
    <x v="0"/>
  </r>
  <r>
    <x v="63"/>
    <x v="40"/>
    <x v="33"/>
    <x v="63"/>
    <x v="1"/>
    <x v="3"/>
    <x v="0"/>
    <x v="49"/>
    <x v="33"/>
    <x v="6"/>
    <x v="0"/>
    <x v="3"/>
    <x v="8"/>
    <x v="22"/>
    <x v="22"/>
    <x v="0"/>
  </r>
  <r>
    <x v="64"/>
    <x v="6"/>
    <x v="34"/>
    <x v="64"/>
    <x v="6"/>
    <x v="1"/>
    <x v="0"/>
    <x v="17"/>
    <x v="34"/>
    <x v="3"/>
    <x v="0"/>
    <x v="1"/>
    <x v="12"/>
    <x v="23"/>
    <x v="23"/>
    <x v="0"/>
  </r>
  <r>
    <x v="65"/>
    <x v="50"/>
    <x v="7"/>
    <x v="65"/>
    <x v="6"/>
    <x v="3"/>
    <x v="0"/>
    <x v="22"/>
    <x v="7"/>
    <x v="3"/>
    <x v="0"/>
    <x v="3"/>
    <x v="4"/>
    <x v="23"/>
    <x v="23"/>
    <x v="0"/>
  </r>
  <r>
    <x v="66"/>
    <x v="59"/>
    <x v="24"/>
    <x v="66"/>
    <x v="4"/>
    <x v="0"/>
    <x v="0"/>
    <x v="17"/>
    <x v="24"/>
    <x v="2"/>
    <x v="0"/>
    <x v="0"/>
    <x v="16"/>
    <x v="5"/>
    <x v="5"/>
    <x v="0"/>
  </r>
  <r>
    <x v="67"/>
    <x v="60"/>
    <x v="17"/>
    <x v="67"/>
    <x v="1"/>
    <x v="3"/>
    <x v="0"/>
    <x v="24"/>
    <x v="17"/>
    <x v="6"/>
    <x v="3"/>
    <x v="3"/>
    <x v="6"/>
    <x v="1"/>
    <x v="1"/>
    <x v="0"/>
  </r>
  <r>
    <x v="68"/>
    <x v="61"/>
    <x v="0"/>
    <x v="68"/>
    <x v="1"/>
    <x v="1"/>
    <x v="0"/>
    <x v="42"/>
    <x v="0"/>
    <x v="0"/>
    <x v="0"/>
    <x v="1"/>
    <x v="6"/>
    <x v="22"/>
    <x v="22"/>
    <x v="0"/>
  </r>
  <r>
    <x v="69"/>
    <x v="4"/>
    <x v="14"/>
    <x v="69"/>
    <x v="1"/>
    <x v="1"/>
    <x v="0"/>
    <x v="50"/>
    <x v="14"/>
    <x v="2"/>
    <x v="2"/>
    <x v="1"/>
    <x v="17"/>
    <x v="1"/>
    <x v="1"/>
    <x v="0"/>
  </r>
  <r>
    <x v="70"/>
    <x v="62"/>
    <x v="9"/>
    <x v="70"/>
    <x v="6"/>
    <x v="0"/>
    <x v="0"/>
    <x v="36"/>
    <x v="9"/>
    <x v="1"/>
    <x v="3"/>
    <x v="0"/>
    <x v="9"/>
    <x v="7"/>
    <x v="7"/>
    <x v="0"/>
  </r>
  <r>
    <x v="71"/>
    <x v="63"/>
    <x v="3"/>
    <x v="71"/>
    <x v="6"/>
    <x v="1"/>
    <x v="0"/>
    <x v="31"/>
    <x v="3"/>
    <x v="2"/>
    <x v="2"/>
    <x v="1"/>
    <x v="25"/>
    <x v="23"/>
    <x v="23"/>
    <x v="0"/>
  </r>
  <r>
    <x v="72"/>
    <x v="64"/>
    <x v="25"/>
    <x v="72"/>
    <x v="4"/>
    <x v="0"/>
    <x v="0"/>
    <x v="51"/>
    <x v="25"/>
    <x v="5"/>
    <x v="3"/>
    <x v="0"/>
    <x v="0"/>
    <x v="5"/>
    <x v="5"/>
    <x v="0"/>
  </r>
  <r>
    <x v="73"/>
    <x v="65"/>
    <x v="1"/>
    <x v="73"/>
    <x v="6"/>
    <x v="0"/>
    <x v="0"/>
    <x v="36"/>
    <x v="1"/>
    <x v="1"/>
    <x v="1"/>
    <x v="0"/>
    <x v="18"/>
    <x v="24"/>
    <x v="24"/>
    <x v="0"/>
  </r>
  <r>
    <x v="74"/>
    <x v="34"/>
    <x v="33"/>
    <x v="74"/>
    <x v="7"/>
    <x v="1"/>
    <x v="0"/>
    <x v="52"/>
    <x v="33"/>
    <x v="6"/>
    <x v="0"/>
    <x v="1"/>
    <x v="15"/>
    <x v="18"/>
    <x v="18"/>
    <x v="0"/>
  </r>
  <r>
    <x v="75"/>
    <x v="66"/>
    <x v="19"/>
    <x v="75"/>
    <x v="8"/>
    <x v="1"/>
    <x v="0"/>
    <x v="7"/>
    <x v="19"/>
    <x v="2"/>
    <x v="1"/>
    <x v="1"/>
    <x v="16"/>
    <x v="20"/>
    <x v="20"/>
    <x v="0"/>
  </r>
  <r>
    <x v="76"/>
    <x v="67"/>
    <x v="35"/>
    <x v="76"/>
    <x v="6"/>
    <x v="3"/>
    <x v="0"/>
    <x v="53"/>
    <x v="35"/>
    <x v="3"/>
    <x v="3"/>
    <x v="3"/>
    <x v="20"/>
    <x v="23"/>
    <x v="23"/>
    <x v="0"/>
  </r>
  <r>
    <x v="77"/>
    <x v="68"/>
    <x v="10"/>
    <x v="77"/>
    <x v="5"/>
    <x v="1"/>
    <x v="0"/>
    <x v="54"/>
    <x v="10"/>
    <x v="1"/>
    <x v="2"/>
    <x v="1"/>
    <x v="24"/>
    <x v="6"/>
    <x v="6"/>
    <x v="0"/>
  </r>
  <r>
    <x v="78"/>
    <x v="69"/>
    <x v="7"/>
    <x v="78"/>
    <x v="6"/>
    <x v="1"/>
    <x v="0"/>
    <x v="6"/>
    <x v="7"/>
    <x v="3"/>
    <x v="0"/>
    <x v="1"/>
    <x v="15"/>
    <x v="23"/>
    <x v="23"/>
    <x v="0"/>
  </r>
  <r>
    <x v="79"/>
    <x v="70"/>
    <x v="17"/>
    <x v="79"/>
    <x v="6"/>
    <x v="1"/>
    <x v="0"/>
    <x v="55"/>
    <x v="17"/>
    <x v="6"/>
    <x v="3"/>
    <x v="1"/>
    <x v="10"/>
    <x v="23"/>
    <x v="23"/>
    <x v="0"/>
  </r>
  <r>
    <x v="80"/>
    <x v="71"/>
    <x v="6"/>
    <x v="80"/>
    <x v="0"/>
    <x v="2"/>
    <x v="1"/>
    <x v="56"/>
    <x v="6"/>
    <x v="2"/>
    <x v="3"/>
    <x v="2"/>
    <x v="2"/>
    <x v="0"/>
    <x v="0"/>
    <x v="0"/>
  </r>
  <r>
    <x v="81"/>
    <x v="72"/>
    <x v="36"/>
    <x v="81"/>
    <x v="1"/>
    <x v="2"/>
    <x v="0"/>
    <x v="28"/>
    <x v="36"/>
    <x v="2"/>
    <x v="2"/>
    <x v="2"/>
    <x v="2"/>
    <x v="7"/>
    <x v="7"/>
    <x v="0"/>
  </r>
  <r>
    <x v="82"/>
    <x v="73"/>
    <x v="13"/>
    <x v="82"/>
    <x v="0"/>
    <x v="2"/>
    <x v="0"/>
    <x v="57"/>
    <x v="13"/>
    <x v="3"/>
    <x v="1"/>
    <x v="2"/>
    <x v="27"/>
    <x v="0"/>
    <x v="0"/>
    <x v="0"/>
  </r>
  <r>
    <x v="83"/>
    <x v="74"/>
    <x v="8"/>
    <x v="83"/>
    <x v="3"/>
    <x v="1"/>
    <x v="0"/>
    <x v="58"/>
    <x v="8"/>
    <x v="4"/>
    <x v="3"/>
    <x v="1"/>
    <x v="28"/>
    <x v="4"/>
    <x v="4"/>
    <x v="0"/>
  </r>
  <r>
    <x v="84"/>
    <x v="75"/>
    <x v="13"/>
    <x v="84"/>
    <x v="3"/>
    <x v="1"/>
    <x v="0"/>
    <x v="59"/>
    <x v="13"/>
    <x v="3"/>
    <x v="1"/>
    <x v="1"/>
    <x v="10"/>
    <x v="4"/>
    <x v="4"/>
    <x v="0"/>
  </r>
  <r>
    <x v="85"/>
    <x v="76"/>
    <x v="23"/>
    <x v="85"/>
    <x v="0"/>
    <x v="0"/>
    <x v="0"/>
    <x v="51"/>
    <x v="23"/>
    <x v="6"/>
    <x v="3"/>
    <x v="0"/>
    <x v="14"/>
    <x v="10"/>
    <x v="10"/>
    <x v="0"/>
  </r>
  <r>
    <x v="86"/>
    <x v="77"/>
    <x v="26"/>
    <x v="86"/>
    <x v="1"/>
    <x v="0"/>
    <x v="0"/>
    <x v="50"/>
    <x v="26"/>
    <x v="1"/>
    <x v="1"/>
    <x v="0"/>
    <x v="23"/>
    <x v="1"/>
    <x v="1"/>
    <x v="0"/>
  </r>
  <r>
    <x v="87"/>
    <x v="78"/>
    <x v="30"/>
    <x v="87"/>
    <x v="1"/>
    <x v="1"/>
    <x v="2"/>
    <x v="32"/>
    <x v="30"/>
    <x v="6"/>
    <x v="1"/>
    <x v="1"/>
    <x v="4"/>
    <x v="1"/>
    <x v="1"/>
    <x v="0"/>
  </r>
  <r>
    <x v="88"/>
    <x v="79"/>
    <x v="29"/>
    <x v="88"/>
    <x v="4"/>
    <x v="0"/>
    <x v="0"/>
    <x v="43"/>
    <x v="29"/>
    <x v="1"/>
    <x v="3"/>
    <x v="0"/>
    <x v="11"/>
    <x v="25"/>
    <x v="25"/>
    <x v="0"/>
  </r>
  <r>
    <x v="89"/>
    <x v="80"/>
    <x v="0"/>
    <x v="89"/>
    <x v="7"/>
    <x v="1"/>
    <x v="0"/>
    <x v="55"/>
    <x v="0"/>
    <x v="0"/>
    <x v="0"/>
    <x v="1"/>
    <x v="14"/>
    <x v="18"/>
    <x v="18"/>
    <x v="0"/>
  </r>
  <r>
    <x v="90"/>
    <x v="11"/>
    <x v="12"/>
    <x v="90"/>
    <x v="4"/>
    <x v="3"/>
    <x v="0"/>
    <x v="60"/>
    <x v="12"/>
    <x v="5"/>
    <x v="2"/>
    <x v="3"/>
    <x v="15"/>
    <x v="5"/>
    <x v="5"/>
    <x v="0"/>
  </r>
  <r>
    <x v="91"/>
    <x v="61"/>
    <x v="26"/>
    <x v="91"/>
    <x v="5"/>
    <x v="1"/>
    <x v="0"/>
    <x v="61"/>
    <x v="26"/>
    <x v="1"/>
    <x v="1"/>
    <x v="1"/>
    <x v="21"/>
    <x v="26"/>
    <x v="26"/>
    <x v="0"/>
  </r>
  <r>
    <x v="92"/>
    <x v="81"/>
    <x v="21"/>
    <x v="92"/>
    <x v="6"/>
    <x v="0"/>
    <x v="0"/>
    <x v="1"/>
    <x v="21"/>
    <x v="5"/>
    <x v="2"/>
    <x v="0"/>
    <x v="19"/>
    <x v="13"/>
    <x v="13"/>
    <x v="0"/>
  </r>
  <r>
    <x v="93"/>
    <x v="82"/>
    <x v="16"/>
    <x v="93"/>
    <x v="2"/>
    <x v="1"/>
    <x v="0"/>
    <x v="62"/>
    <x v="16"/>
    <x v="3"/>
    <x v="3"/>
    <x v="1"/>
    <x v="22"/>
    <x v="9"/>
    <x v="9"/>
    <x v="0"/>
  </r>
  <r>
    <x v="94"/>
    <x v="83"/>
    <x v="2"/>
    <x v="94"/>
    <x v="1"/>
    <x v="0"/>
    <x v="0"/>
    <x v="63"/>
    <x v="2"/>
    <x v="1"/>
    <x v="1"/>
    <x v="0"/>
    <x v="25"/>
    <x v="1"/>
    <x v="1"/>
    <x v="0"/>
  </r>
  <r>
    <x v="95"/>
    <x v="84"/>
    <x v="37"/>
    <x v="95"/>
    <x v="7"/>
    <x v="1"/>
    <x v="0"/>
    <x v="64"/>
    <x v="37"/>
    <x v="1"/>
    <x v="2"/>
    <x v="1"/>
    <x v="4"/>
    <x v="18"/>
    <x v="18"/>
    <x v="0"/>
  </r>
  <r>
    <x v="96"/>
    <x v="85"/>
    <x v="13"/>
    <x v="96"/>
    <x v="5"/>
    <x v="1"/>
    <x v="0"/>
    <x v="65"/>
    <x v="13"/>
    <x v="3"/>
    <x v="1"/>
    <x v="1"/>
    <x v="17"/>
    <x v="27"/>
    <x v="27"/>
    <x v="0"/>
  </r>
  <r>
    <x v="97"/>
    <x v="86"/>
    <x v="24"/>
    <x v="97"/>
    <x v="4"/>
    <x v="1"/>
    <x v="0"/>
    <x v="66"/>
    <x v="24"/>
    <x v="2"/>
    <x v="0"/>
    <x v="1"/>
    <x v="5"/>
    <x v="28"/>
    <x v="28"/>
    <x v="0"/>
  </r>
  <r>
    <x v="98"/>
    <x v="87"/>
    <x v="35"/>
    <x v="98"/>
    <x v="5"/>
    <x v="3"/>
    <x v="0"/>
    <x v="67"/>
    <x v="35"/>
    <x v="3"/>
    <x v="3"/>
    <x v="3"/>
    <x v="13"/>
    <x v="6"/>
    <x v="6"/>
    <x v="0"/>
  </r>
  <r>
    <x v="99"/>
    <x v="53"/>
    <x v="8"/>
    <x v="99"/>
    <x v="6"/>
    <x v="1"/>
    <x v="0"/>
    <x v="60"/>
    <x v="8"/>
    <x v="4"/>
    <x v="3"/>
    <x v="1"/>
    <x v="16"/>
    <x v="23"/>
    <x v="23"/>
    <x v="0"/>
  </r>
  <r>
    <x v="100"/>
    <x v="88"/>
    <x v="34"/>
    <x v="100"/>
    <x v="5"/>
    <x v="1"/>
    <x v="0"/>
    <x v="66"/>
    <x v="34"/>
    <x v="3"/>
    <x v="0"/>
    <x v="1"/>
    <x v="8"/>
    <x v="27"/>
    <x v="27"/>
    <x v="0"/>
  </r>
  <r>
    <x v="101"/>
    <x v="89"/>
    <x v="38"/>
    <x v="101"/>
    <x v="6"/>
    <x v="2"/>
    <x v="0"/>
    <x v="54"/>
    <x v="38"/>
    <x v="5"/>
    <x v="1"/>
    <x v="2"/>
    <x v="22"/>
    <x v="23"/>
    <x v="23"/>
    <x v="0"/>
  </r>
  <r>
    <x v="102"/>
    <x v="90"/>
    <x v="26"/>
    <x v="102"/>
    <x v="3"/>
    <x v="3"/>
    <x v="0"/>
    <x v="55"/>
    <x v="26"/>
    <x v="1"/>
    <x v="1"/>
    <x v="3"/>
    <x v="6"/>
    <x v="3"/>
    <x v="3"/>
    <x v="0"/>
  </r>
  <r>
    <x v="103"/>
    <x v="17"/>
    <x v="7"/>
    <x v="103"/>
    <x v="7"/>
    <x v="1"/>
    <x v="0"/>
    <x v="48"/>
    <x v="7"/>
    <x v="3"/>
    <x v="0"/>
    <x v="1"/>
    <x v="17"/>
    <x v="18"/>
    <x v="18"/>
    <x v="0"/>
  </r>
  <r>
    <x v="104"/>
    <x v="83"/>
    <x v="38"/>
    <x v="104"/>
    <x v="0"/>
    <x v="3"/>
    <x v="0"/>
    <x v="68"/>
    <x v="38"/>
    <x v="5"/>
    <x v="1"/>
    <x v="3"/>
    <x v="15"/>
    <x v="0"/>
    <x v="0"/>
    <x v="0"/>
  </r>
  <r>
    <x v="105"/>
    <x v="91"/>
    <x v="38"/>
    <x v="105"/>
    <x v="7"/>
    <x v="1"/>
    <x v="0"/>
    <x v="69"/>
    <x v="38"/>
    <x v="5"/>
    <x v="1"/>
    <x v="1"/>
    <x v="0"/>
    <x v="18"/>
    <x v="18"/>
    <x v="0"/>
  </r>
  <r>
    <x v="106"/>
    <x v="92"/>
    <x v="21"/>
    <x v="106"/>
    <x v="3"/>
    <x v="1"/>
    <x v="0"/>
    <x v="46"/>
    <x v="21"/>
    <x v="5"/>
    <x v="2"/>
    <x v="1"/>
    <x v="9"/>
    <x v="29"/>
    <x v="29"/>
    <x v="0"/>
  </r>
  <r>
    <x v="107"/>
    <x v="60"/>
    <x v="21"/>
    <x v="107"/>
    <x v="6"/>
    <x v="1"/>
    <x v="0"/>
    <x v="68"/>
    <x v="21"/>
    <x v="5"/>
    <x v="2"/>
    <x v="1"/>
    <x v="9"/>
    <x v="29"/>
    <x v="29"/>
    <x v="0"/>
  </r>
  <r>
    <x v="108"/>
    <x v="30"/>
    <x v="26"/>
    <x v="108"/>
    <x v="6"/>
    <x v="0"/>
    <x v="1"/>
    <x v="31"/>
    <x v="26"/>
    <x v="1"/>
    <x v="1"/>
    <x v="0"/>
    <x v="21"/>
    <x v="26"/>
    <x v="26"/>
    <x v="0"/>
  </r>
  <r>
    <x v="109"/>
    <x v="93"/>
    <x v="33"/>
    <x v="109"/>
    <x v="7"/>
    <x v="1"/>
    <x v="0"/>
    <x v="20"/>
    <x v="33"/>
    <x v="6"/>
    <x v="0"/>
    <x v="1"/>
    <x v="4"/>
    <x v="18"/>
    <x v="18"/>
    <x v="0"/>
  </r>
  <r>
    <x v="110"/>
    <x v="94"/>
    <x v="17"/>
    <x v="110"/>
    <x v="4"/>
    <x v="1"/>
    <x v="0"/>
    <x v="0"/>
    <x v="17"/>
    <x v="6"/>
    <x v="3"/>
    <x v="1"/>
    <x v="24"/>
    <x v="5"/>
    <x v="5"/>
    <x v="0"/>
  </r>
  <r>
    <x v="111"/>
    <x v="95"/>
    <x v="33"/>
    <x v="111"/>
    <x v="1"/>
    <x v="1"/>
    <x v="0"/>
    <x v="19"/>
    <x v="33"/>
    <x v="6"/>
    <x v="0"/>
    <x v="1"/>
    <x v="1"/>
    <x v="1"/>
    <x v="1"/>
    <x v="0"/>
  </r>
  <r>
    <x v="112"/>
    <x v="96"/>
    <x v="4"/>
    <x v="112"/>
    <x v="6"/>
    <x v="1"/>
    <x v="0"/>
    <x v="70"/>
    <x v="4"/>
    <x v="3"/>
    <x v="3"/>
    <x v="1"/>
    <x v="13"/>
    <x v="23"/>
    <x v="23"/>
    <x v="0"/>
  </r>
  <r>
    <x v="113"/>
    <x v="91"/>
    <x v="30"/>
    <x v="113"/>
    <x v="5"/>
    <x v="1"/>
    <x v="0"/>
    <x v="30"/>
    <x v="30"/>
    <x v="6"/>
    <x v="1"/>
    <x v="1"/>
    <x v="29"/>
    <x v="6"/>
    <x v="6"/>
    <x v="0"/>
  </r>
  <r>
    <x v="114"/>
    <x v="97"/>
    <x v="8"/>
    <x v="114"/>
    <x v="7"/>
    <x v="1"/>
    <x v="0"/>
    <x v="18"/>
    <x v="8"/>
    <x v="4"/>
    <x v="3"/>
    <x v="1"/>
    <x v="11"/>
    <x v="18"/>
    <x v="18"/>
    <x v="0"/>
  </r>
  <r>
    <x v="115"/>
    <x v="30"/>
    <x v="31"/>
    <x v="115"/>
    <x v="6"/>
    <x v="1"/>
    <x v="0"/>
    <x v="1"/>
    <x v="31"/>
    <x v="3"/>
    <x v="1"/>
    <x v="1"/>
    <x v="12"/>
    <x v="23"/>
    <x v="23"/>
    <x v="0"/>
  </r>
  <r>
    <x v="116"/>
    <x v="98"/>
    <x v="29"/>
    <x v="116"/>
    <x v="6"/>
    <x v="1"/>
    <x v="0"/>
    <x v="71"/>
    <x v="29"/>
    <x v="1"/>
    <x v="3"/>
    <x v="1"/>
    <x v="21"/>
    <x v="30"/>
    <x v="30"/>
    <x v="0"/>
  </r>
  <r>
    <x v="117"/>
    <x v="90"/>
    <x v="26"/>
    <x v="117"/>
    <x v="6"/>
    <x v="1"/>
    <x v="0"/>
    <x v="59"/>
    <x v="26"/>
    <x v="1"/>
    <x v="1"/>
    <x v="1"/>
    <x v="10"/>
    <x v="23"/>
    <x v="23"/>
    <x v="0"/>
  </r>
  <r>
    <x v="118"/>
    <x v="99"/>
    <x v="38"/>
    <x v="118"/>
    <x v="6"/>
    <x v="1"/>
    <x v="0"/>
    <x v="63"/>
    <x v="38"/>
    <x v="5"/>
    <x v="1"/>
    <x v="1"/>
    <x v="24"/>
    <x v="23"/>
    <x v="23"/>
    <x v="0"/>
  </r>
  <r>
    <x v="119"/>
    <x v="100"/>
    <x v="37"/>
    <x v="119"/>
    <x v="0"/>
    <x v="0"/>
    <x v="0"/>
    <x v="15"/>
    <x v="37"/>
    <x v="1"/>
    <x v="2"/>
    <x v="0"/>
    <x v="20"/>
    <x v="31"/>
    <x v="31"/>
    <x v="0"/>
  </r>
  <r>
    <x v="120"/>
    <x v="53"/>
    <x v="24"/>
    <x v="120"/>
    <x v="6"/>
    <x v="1"/>
    <x v="0"/>
    <x v="55"/>
    <x v="24"/>
    <x v="2"/>
    <x v="0"/>
    <x v="1"/>
    <x v="12"/>
    <x v="14"/>
    <x v="14"/>
    <x v="0"/>
  </r>
  <r>
    <x v="121"/>
    <x v="101"/>
    <x v="11"/>
    <x v="121"/>
    <x v="0"/>
    <x v="1"/>
    <x v="0"/>
    <x v="12"/>
    <x v="11"/>
    <x v="0"/>
    <x v="3"/>
    <x v="1"/>
    <x v="8"/>
    <x v="32"/>
    <x v="32"/>
    <x v="0"/>
  </r>
  <r>
    <x v="122"/>
    <x v="59"/>
    <x v="20"/>
    <x v="122"/>
    <x v="2"/>
    <x v="1"/>
    <x v="1"/>
    <x v="24"/>
    <x v="20"/>
    <x v="0"/>
    <x v="3"/>
    <x v="1"/>
    <x v="10"/>
    <x v="9"/>
    <x v="9"/>
    <x v="0"/>
  </r>
  <r>
    <x v="123"/>
    <x v="102"/>
    <x v="6"/>
    <x v="123"/>
    <x v="1"/>
    <x v="1"/>
    <x v="0"/>
    <x v="28"/>
    <x v="6"/>
    <x v="2"/>
    <x v="3"/>
    <x v="1"/>
    <x v="17"/>
    <x v="1"/>
    <x v="1"/>
    <x v="0"/>
  </r>
  <r>
    <x v="124"/>
    <x v="103"/>
    <x v="32"/>
    <x v="124"/>
    <x v="6"/>
    <x v="1"/>
    <x v="0"/>
    <x v="31"/>
    <x v="32"/>
    <x v="4"/>
    <x v="2"/>
    <x v="1"/>
    <x v="18"/>
    <x v="23"/>
    <x v="23"/>
    <x v="0"/>
  </r>
  <r>
    <x v="125"/>
    <x v="104"/>
    <x v="7"/>
    <x v="125"/>
    <x v="2"/>
    <x v="1"/>
    <x v="0"/>
    <x v="72"/>
    <x v="7"/>
    <x v="3"/>
    <x v="0"/>
    <x v="1"/>
    <x v="21"/>
    <x v="16"/>
    <x v="16"/>
    <x v="0"/>
  </r>
  <r>
    <x v="126"/>
    <x v="105"/>
    <x v="35"/>
    <x v="126"/>
    <x v="3"/>
    <x v="1"/>
    <x v="0"/>
    <x v="67"/>
    <x v="35"/>
    <x v="3"/>
    <x v="3"/>
    <x v="1"/>
    <x v="27"/>
    <x v="27"/>
    <x v="27"/>
    <x v="0"/>
  </r>
  <r>
    <x v="127"/>
    <x v="14"/>
    <x v="20"/>
    <x v="127"/>
    <x v="6"/>
    <x v="3"/>
    <x v="0"/>
    <x v="8"/>
    <x v="20"/>
    <x v="0"/>
    <x v="3"/>
    <x v="3"/>
    <x v="24"/>
    <x v="23"/>
    <x v="23"/>
    <x v="0"/>
  </r>
  <r>
    <x v="128"/>
    <x v="106"/>
    <x v="14"/>
    <x v="128"/>
    <x v="4"/>
    <x v="1"/>
    <x v="0"/>
    <x v="70"/>
    <x v="14"/>
    <x v="2"/>
    <x v="2"/>
    <x v="1"/>
    <x v="7"/>
    <x v="5"/>
    <x v="5"/>
    <x v="0"/>
  </r>
  <r>
    <x v="129"/>
    <x v="107"/>
    <x v="0"/>
    <x v="129"/>
    <x v="4"/>
    <x v="3"/>
    <x v="0"/>
    <x v="73"/>
    <x v="0"/>
    <x v="0"/>
    <x v="0"/>
    <x v="3"/>
    <x v="3"/>
    <x v="3"/>
    <x v="3"/>
    <x v="0"/>
  </r>
  <r>
    <x v="130"/>
    <x v="95"/>
    <x v="4"/>
    <x v="130"/>
    <x v="7"/>
    <x v="1"/>
    <x v="2"/>
    <x v="14"/>
    <x v="4"/>
    <x v="3"/>
    <x v="3"/>
    <x v="1"/>
    <x v="11"/>
    <x v="8"/>
    <x v="8"/>
    <x v="0"/>
  </r>
  <r>
    <x v="131"/>
    <x v="5"/>
    <x v="14"/>
    <x v="131"/>
    <x v="7"/>
    <x v="2"/>
    <x v="0"/>
    <x v="67"/>
    <x v="14"/>
    <x v="2"/>
    <x v="2"/>
    <x v="2"/>
    <x v="2"/>
    <x v="33"/>
    <x v="33"/>
    <x v="0"/>
  </r>
  <r>
    <x v="132"/>
    <x v="28"/>
    <x v="4"/>
    <x v="132"/>
    <x v="7"/>
    <x v="3"/>
    <x v="0"/>
    <x v="58"/>
    <x v="4"/>
    <x v="3"/>
    <x v="3"/>
    <x v="3"/>
    <x v="16"/>
    <x v="18"/>
    <x v="18"/>
    <x v="0"/>
  </r>
  <r>
    <x v="133"/>
    <x v="108"/>
    <x v="26"/>
    <x v="133"/>
    <x v="1"/>
    <x v="2"/>
    <x v="0"/>
    <x v="74"/>
    <x v="26"/>
    <x v="1"/>
    <x v="1"/>
    <x v="2"/>
    <x v="18"/>
    <x v="1"/>
    <x v="1"/>
    <x v="0"/>
  </r>
  <r>
    <x v="134"/>
    <x v="109"/>
    <x v="1"/>
    <x v="134"/>
    <x v="4"/>
    <x v="1"/>
    <x v="0"/>
    <x v="75"/>
    <x v="1"/>
    <x v="1"/>
    <x v="1"/>
    <x v="1"/>
    <x v="18"/>
    <x v="24"/>
    <x v="24"/>
    <x v="0"/>
  </r>
  <r>
    <x v="135"/>
    <x v="87"/>
    <x v="3"/>
    <x v="135"/>
    <x v="7"/>
    <x v="1"/>
    <x v="0"/>
    <x v="1"/>
    <x v="3"/>
    <x v="2"/>
    <x v="2"/>
    <x v="1"/>
    <x v="14"/>
    <x v="34"/>
    <x v="34"/>
    <x v="0"/>
  </r>
  <r>
    <x v="136"/>
    <x v="83"/>
    <x v="3"/>
    <x v="136"/>
    <x v="1"/>
    <x v="1"/>
    <x v="0"/>
    <x v="16"/>
    <x v="3"/>
    <x v="2"/>
    <x v="2"/>
    <x v="1"/>
    <x v="20"/>
    <x v="1"/>
    <x v="1"/>
    <x v="0"/>
  </r>
  <r>
    <x v="137"/>
    <x v="110"/>
    <x v="33"/>
    <x v="137"/>
    <x v="0"/>
    <x v="0"/>
    <x v="1"/>
    <x v="76"/>
    <x v="33"/>
    <x v="6"/>
    <x v="0"/>
    <x v="0"/>
    <x v="19"/>
    <x v="0"/>
    <x v="0"/>
    <x v="0"/>
  </r>
  <r>
    <x v="138"/>
    <x v="111"/>
    <x v="13"/>
    <x v="138"/>
    <x v="7"/>
    <x v="1"/>
    <x v="0"/>
    <x v="57"/>
    <x v="13"/>
    <x v="3"/>
    <x v="1"/>
    <x v="1"/>
    <x v="22"/>
    <x v="18"/>
    <x v="18"/>
    <x v="0"/>
  </r>
  <r>
    <x v="139"/>
    <x v="82"/>
    <x v="23"/>
    <x v="139"/>
    <x v="6"/>
    <x v="3"/>
    <x v="0"/>
    <x v="77"/>
    <x v="23"/>
    <x v="6"/>
    <x v="3"/>
    <x v="3"/>
    <x v="2"/>
    <x v="35"/>
    <x v="35"/>
    <x v="0"/>
  </r>
  <r>
    <x v="140"/>
    <x v="112"/>
    <x v="4"/>
    <x v="140"/>
    <x v="4"/>
    <x v="1"/>
    <x v="0"/>
    <x v="40"/>
    <x v="4"/>
    <x v="3"/>
    <x v="3"/>
    <x v="1"/>
    <x v="4"/>
    <x v="3"/>
    <x v="3"/>
    <x v="0"/>
  </r>
  <r>
    <x v="141"/>
    <x v="113"/>
    <x v="31"/>
    <x v="141"/>
    <x v="1"/>
    <x v="1"/>
    <x v="0"/>
    <x v="17"/>
    <x v="31"/>
    <x v="3"/>
    <x v="1"/>
    <x v="1"/>
    <x v="16"/>
    <x v="22"/>
    <x v="22"/>
    <x v="0"/>
  </r>
  <r>
    <x v="142"/>
    <x v="95"/>
    <x v="21"/>
    <x v="142"/>
    <x v="2"/>
    <x v="1"/>
    <x v="0"/>
    <x v="47"/>
    <x v="21"/>
    <x v="5"/>
    <x v="2"/>
    <x v="1"/>
    <x v="14"/>
    <x v="9"/>
    <x v="9"/>
    <x v="0"/>
  </r>
  <r>
    <x v="143"/>
    <x v="114"/>
    <x v="18"/>
    <x v="143"/>
    <x v="1"/>
    <x v="3"/>
    <x v="0"/>
    <x v="22"/>
    <x v="18"/>
    <x v="6"/>
    <x v="2"/>
    <x v="3"/>
    <x v="16"/>
    <x v="11"/>
    <x v="11"/>
    <x v="0"/>
  </r>
  <r>
    <x v="144"/>
    <x v="0"/>
    <x v="0"/>
    <x v="144"/>
    <x v="1"/>
    <x v="1"/>
    <x v="0"/>
    <x v="78"/>
    <x v="0"/>
    <x v="0"/>
    <x v="0"/>
    <x v="1"/>
    <x v="19"/>
    <x v="1"/>
    <x v="1"/>
    <x v="0"/>
  </r>
  <r>
    <x v="145"/>
    <x v="115"/>
    <x v="24"/>
    <x v="145"/>
    <x v="1"/>
    <x v="3"/>
    <x v="0"/>
    <x v="79"/>
    <x v="24"/>
    <x v="2"/>
    <x v="0"/>
    <x v="3"/>
    <x v="3"/>
    <x v="1"/>
    <x v="1"/>
    <x v="0"/>
  </r>
  <r>
    <x v="146"/>
    <x v="116"/>
    <x v="37"/>
    <x v="146"/>
    <x v="1"/>
    <x v="1"/>
    <x v="0"/>
    <x v="18"/>
    <x v="37"/>
    <x v="1"/>
    <x v="2"/>
    <x v="1"/>
    <x v="10"/>
    <x v="36"/>
    <x v="36"/>
    <x v="1"/>
  </r>
  <r>
    <x v="147"/>
    <x v="117"/>
    <x v="2"/>
    <x v="147"/>
    <x v="7"/>
    <x v="1"/>
    <x v="2"/>
    <x v="66"/>
    <x v="2"/>
    <x v="1"/>
    <x v="1"/>
    <x v="1"/>
    <x v="0"/>
    <x v="18"/>
    <x v="18"/>
    <x v="0"/>
  </r>
  <r>
    <x v="148"/>
    <x v="16"/>
    <x v="10"/>
    <x v="148"/>
    <x v="0"/>
    <x v="2"/>
    <x v="0"/>
    <x v="80"/>
    <x v="10"/>
    <x v="1"/>
    <x v="2"/>
    <x v="2"/>
    <x v="17"/>
    <x v="0"/>
    <x v="0"/>
    <x v="0"/>
  </r>
  <r>
    <x v="149"/>
    <x v="118"/>
    <x v="6"/>
    <x v="149"/>
    <x v="7"/>
    <x v="1"/>
    <x v="0"/>
    <x v="37"/>
    <x v="6"/>
    <x v="2"/>
    <x v="3"/>
    <x v="1"/>
    <x v="10"/>
    <x v="8"/>
    <x v="8"/>
    <x v="0"/>
  </r>
  <r>
    <x v="150"/>
    <x v="2"/>
    <x v="14"/>
    <x v="150"/>
    <x v="5"/>
    <x v="1"/>
    <x v="0"/>
    <x v="73"/>
    <x v="14"/>
    <x v="2"/>
    <x v="2"/>
    <x v="1"/>
    <x v="19"/>
    <x v="6"/>
    <x v="6"/>
    <x v="0"/>
  </r>
  <r>
    <x v="151"/>
    <x v="119"/>
    <x v="27"/>
    <x v="151"/>
    <x v="1"/>
    <x v="1"/>
    <x v="0"/>
    <x v="67"/>
    <x v="27"/>
    <x v="3"/>
    <x v="0"/>
    <x v="1"/>
    <x v="28"/>
    <x v="22"/>
    <x v="22"/>
    <x v="0"/>
  </r>
  <r>
    <x v="152"/>
    <x v="57"/>
    <x v="29"/>
    <x v="152"/>
    <x v="7"/>
    <x v="1"/>
    <x v="0"/>
    <x v="81"/>
    <x v="29"/>
    <x v="1"/>
    <x v="3"/>
    <x v="1"/>
    <x v="11"/>
    <x v="25"/>
    <x v="25"/>
    <x v="0"/>
  </r>
  <r>
    <x v="153"/>
    <x v="20"/>
    <x v="19"/>
    <x v="153"/>
    <x v="1"/>
    <x v="0"/>
    <x v="0"/>
    <x v="81"/>
    <x v="19"/>
    <x v="2"/>
    <x v="1"/>
    <x v="0"/>
    <x v="2"/>
    <x v="19"/>
    <x v="19"/>
    <x v="0"/>
  </r>
  <r>
    <x v="154"/>
    <x v="93"/>
    <x v="6"/>
    <x v="154"/>
    <x v="5"/>
    <x v="2"/>
    <x v="0"/>
    <x v="1"/>
    <x v="6"/>
    <x v="2"/>
    <x v="3"/>
    <x v="2"/>
    <x v="16"/>
    <x v="6"/>
    <x v="6"/>
    <x v="0"/>
  </r>
  <r>
    <x v="155"/>
    <x v="23"/>
    <x v="39"/>
    <x v="155"/>
    <x v="3"/>
    <x v="3"/>
    <x v="0"/>
    <x v="62"/>
    <x v="39"/>
    <x v="1"/>
    <x v="1"/>
    <x v="3"/>
    <x v="10"/>
    <x v="4"/>
    <x v="4"/>
    <x v="0"/>
  </r>
  <r>
    <x v="156"/>
    <x v="120"/>
    <x v="15"/>
    <x v="156"/>
    <x v="0"/>
    <x v="1"/>
    <x v="0"/>
    <x v="3"/>
    <x v="15"/>
    <x v="6"/>
    <x v="3"/>
    <x v="1"/>
    <x v="1"/>
    <x v="0"/>
    <x v="0"/>
    <x v="0"/>
  </r>
  <r>
    <x v="157"/>
    <x v="121"/>
    <x v="39"/>
    <x v="157"/>
    <x v="1"/>
    <x v="3"/>
    <x v="1"/>
    <x v="20"/>
    <x v="39"/>
    <x v="1"/>
    <x v="1"/>
    <x v="3"/>
    <x v="17"/>
    <x v="19"/>
    <x v="19"/>
    <x v="0"/>
  </r>
  <r>
    <x v="158"/>
    <x v="27"/>
    <x v="9"/>
    <x v="158"/>
    <x v="8"/>
    <x v="1"/>
    <x v="0"/>
    <x v="21"/>
    <x v="9"/>
    <x v="1"/>
    <x v="3"/>
    <x v="1"/>
    <x v="3"/>
    <x v="20"/>
    <x v="20"/>
    <x v="0"/>
  </r>
  <r>
    <x v="159"/>
    <x v="122"/>
    <x v="36"/>
    <x v="159"/>
    <x v="0"/>
    <x v="1"/>
    <x v="0"/>
    <x v="48"/>
    <x v="36"/>
    <x v="2"/>
    <x v="2"/>
    <x v="1"/>
    <x v="14"/>
    <x v="0"/>
    <x v="0"/>
    <x v="0"/>
  </r>
  <r>
    <x v="160"/>
    <x v="123"/>
    <x v="28"/>
    <x v="160"/>
    <x v="6"/>
    <x v="1"/>
    <x v="0"/>
    <x v="34"/>
    <x v="28"/>
    <x v="3"/>
    <x v="1"/>
    <x v="1"/>
    <x v="3"/>
    <x v="23"/>
    <x v="23"/>
    <x v="0"/>
  </r>
  <r>
    <x v="161"/>
    <x v="124"/>
    <x v="30"/>
    <x v="161"/>
    <x v="5"/>
    <x v="2"/>
    <x v="0"/>
    <x v="18"/>
    <x v="30"/>
    <x v="6"/>
    <x v="1"/>
    <x v="2"/>
    <x v="16"/>
    <x v="29"/>
    <x v="29"/>
    <x v="0"/>
  </r>
  <r>
    <x v="162"/>
    <x v="125"/>
    <x v="22"/>
    <x v="162"/>
    <x v="3"/>
    <x v="2"/>
    <x v="0"/>
    <x v="82"/>
    <x v="22"/>
    <x v="6"/>
    <x v="3"/>
    <x v="2"/>
    <x v="29"/>
    <x v="4"/>
    <x v="4"/>
    <x v="0"/>
  </r>
  <r>
    <x v="163"/>
    <x v="126"/>
    <x v="37"/>
    <x v="163"/>
    <x v="7"/>
    <x v="0"/>
    <x v="0"/>
    <x v="29"/>
    <x v="37"/>
    <x v="1"/>
    <x v="2"/>
    <x v="0"/>
    <x v="28"/>
    <x v="18"/>
    <x v="18"/>
    <x v="0"/>
  </r>
  <r>
    <x v="164"/>
    <x v="127"/>
    <x v="28"/>
    <x v="164"/>
    <x v="3"/>
    <x v="1"/>
    <x v="0"/>
    <x v="10"/>
    <x v="28"/>
    <x v="3"/>
    <x v="1"/>
    <x v="1"/>
    <x v="15"/>
    <x v="8"/>
    <x v="8"/>
    <x v="0"/>
  </r>
  <r>
    <x v="165"/>
    <x v="128"/>
    <x v="19"/>
    <x v="165"/>
    <x v="5"/>
    <x v="1"/>
    <x v="0"/>
    <x v="5"/>
    <x v="19"/>
    <x v="2"/>
    <x v="1"/>
    <x v="1"/>
    <x v="11"/>
    <x v="6"/>
    <x v="6"/>
    <x v="0"/>
  </r>
  <r>
    <x v="166"/>
    <x v="129"/>
    <x v="17"/>
    <x v="166"/>
    <x v="8"/>
    <x v="0"/>
    <x v="1"/>
    <x v="22"/>
    <x v="17"/>
    <x v="6"/>
    <x v="3"/>
    <x v="0"/>
    <x v="9"/>
    <x v="37"/>
    <x v="37"/>
    <x v="0"/>
  </r>
  <r>
    <x v="167"/>
    <x v="93"/>
    <x v="24"/>
    <x v="53"/>
    <x v="3"/>
    <x v="3"/>
    <x v="0"/>
    <x v="59"/>
    <x v="24"/>
    <x v="2"/>
    <x v="0"/>
    <x v="3"/>
    <x v="5"/>
    <x v="28"/>
    <x v="28"/>
    <x v="0"/>
  </r>
  <r>
    <x v="168"/>
    <x v="130"/>
    <x v="39"/>
    <x v="167"/>
    <x v="1"/>
    <x v="2"/>
    <x v="0"/>
    <x v="68"/>
    <x v="39"/>
    <x v="1"/>
    <x v="1"/>
    <x v="2"/>
    <x v="27"/>
    <x v="1"/>
    <x v="1"/>
    <x v="0"/>
  </r>
  <r>
    <x v="169"/>
    <x v="130"/>
    <x v="23"/>
    <x v="168"/>
    <x v="0"/>
    <x v="0"/>
    <x v="0"/>
    <x v="63"/>
    <x v="23"/>
    <x v="6"/>
    <x v="3"/>
    <x v="0"/>
    <x v="22"/>
    <x v="38"/>
    <x v="38"/>
    <x v="0"/>
  </r>
  <r>
    <x v="170"/>
    <x v="131"/>
    <x v="24"/>
    <x v="169"/>
    <x v="7"/>
    <x v="2"/>
    <x v="0"/>
    <x v="53"/>
    <x v="24"/>
    <x v="2"/>
    <x v="0"/>
    <x v="2"/>
    <x v="0"/>
    <x v="18"/>
    <x v="18"/>
    <x v="0"/>
  </r>
  <r>
    <x v="171"/>
    <x v="37"/>
    <x v="1"/>
    <x v="170"/>
    <x v="1"/>
    <x v="1"/>
    <x v="0"/>
    <x v="46"/>
    <x v="1"/>
    <x v="1"/>
    <x v="1"/>
    <x v="1"/>
    <x v="13"/>
    <x v="1"/>
    <x v="1"/>
    <x v="0"/>
  </r>
  <r>
    <x v="172"/>
    <x v="27"/>
    <x v="23"/>
    <x v="171"/>
    <x v="4"/>
    <x v="2"/>
    <x v="0"/>
    <x v="36"/>
    <x v="23"/>
    <x v="6"/>
    <x v="3"/>
    <x v="2"/>
    <x v="2"/>
    <x v="35"/>
    <x v="35"/>
    <x v="0"/>
  </r>
  <r>
    <x v="173"/>
    <x v="132"/>
    <x v="31"/>
    <x v="172"/>
    <x v="5"/>
    <x v="1"/>
    <x v="0"/>
    <x v="56"/>
    <x v="31"/>
    <x v="3"/>
    <x v="1"/>
    <x v="1"/>
    <x v="26"/>
    <x v="6"/>
    <x v="6"/>
    <x v="0"/>
  </r>
  <r>
    <x v="174"/>
    <x v="133"/>
    <x v="23"/>
    <x v="173"/>
    <x v="2"/>
    <x v="3"/>
    <x v="1"/>
    <x v="47"/>
    <x v="23"/>
    <x v="6"/>
    <x v="3"/>
    <x v="3"/>
    <x v="17"/>
    <x v="16"/>
    <x v="16"/>
    <x v="0"/>
  </r>
  <r>
    <x v="175"/>
    <x v="134"/>
    <x v="5"/>
    <x v="174"/>
    <x v="7"/>
    <x v="1"/>
    <x v="0"/>
    <x v="83"/>
    <x v="5"/>
    <x v="2"/>
    <x v="1"/>
    <x v="1"/>
    <x v="28"/>
    <x v="18"/>
    <x v="18"/>
    <x v="0"/>
  </r>
  <r>
    <x v="176"/>
    <x v="31"/>
    <x v="24"/>
    <x v="175"/>
    <x v="2"/>
    <x v="3"/>
    <x v="0"/>
    <x v="20"/>
    <x v="24"/>
    <x v="2"/>
    <x v="0"/>
    <x v="3"/>
    <x v="11"/>
    <x v="9"/>
    <x v="9"/>
    <x v="0"/>
  </r>
  <r>
    <x v="177"/>
    <x v="135"/>
    <x v="38"/>
    <x v="176"/>
    <x v="8"/>
    <x v="0"/>
    <x v="2"/>
    <x v="84"/>
    <x v="38"/>
    <x v="5"/>
    <x v="1"/>
    <x v="0"/>
    <x v="13"/>
    <x v="39"/>
    <x v="39"/>
    <x v="1"/>
  </r>
  <r>
    <x v="178"/>
    <x v="136"/>
    <x v="21"/>
    <x v="177"/>
    <x v="0"/>
    <x v="3"/>
    <x v="0"/>
    <x v="71"/>
    <x v="21"/>
    <x v="5"/>
    <x v="2"/>
    <x v="3"/>
    <x v="22"/>
    <x v="0"/>
    <x v="0"/>
    <x v="0"/>
  </r>
  <r>
    <x v="179"/>
    <x v="105"/>
    <x v="16"/>
    <x v="178"/>
    <x v="7"/>
    <x v="1"/>
    <x v="0"/>
    <x v="57"/>
    <x v="16"/>
    <x v="3"/>
    <x v="3"/>
    <x v="1"/>
    <x v="29"/>
    <x v="18"/>
    <x v="18"/>
    <x v="0"/>
  </r>
  <r>
    <x v="180"/>
    <x v="11"/>
    <x v="37"/>
    <x v="179"/>
    <x v="5"/>
    <x v="1"/>
    <x v="1"/>
    <x v="31"/>
    <x v="37"/>
    <x v="1"/>
    <x v="2"/>
    <x v="1"/>
    <x v="7"/>
    <x v="6"/>
    <x v="6"/>
    <x v="0"/>
  </r>
  <r>
    <x v="181"/>
    <x v="37"/>
    <x v="28"/>
    <x v="180"/>
    <x v="5"/>
    <x v="1"/>
    <x v="0"/>
    <x v="2"/>
    <x v="28"/>
    <x v="3"/>
    <x v="1"/>
    <x v="1"/>
    <x v="19"/>
    <x v="6"/>
    <x v="6"/>
    <x v="0"/>
  </r>
  <r>
    <x v="182"/>
    <x v="47"/>
    <x v="39"/>
    <x v="181"/>
    <x v="6"/>
    <x v="1"/>
    <x v="0"/>
    <x v="51"/>
    <x v="39"/>
    <x v="1"/>
    <x v="1"/>
    <x v="1"/>
    <x v="1"/>
    <x v="23"/>
    <x v="23"/>
    <x v="0"/>
  </r>
  <r>
    <x v="183"/>
    <x v="91"/>
    <x v="27"/>
    <x v="182"/>
    <x v="5"/>
    <x v="3"/>
    <x v="0"/>
    <x v="2"/>
    <x v="27"/>
    <x v="3"/>
    <x v="0"/>
    <x v="3"/>
    <x v="28"/>
    <x v="22"/>
    <x v="22"/>
    <x v="0"/>
  </r>
  <r>
    <x v="184"/>
    <x v="40"/>
    <x v="36"/>
    <x v="183"/>
    <x v="5"/>
    <x v="3"/>
    <x v="0"/>
    <x v="11"/>
    <x v="36"/>
    <x v="2"/>
    <x v="2"/>
    <x v="3"/>
    <x v="10"/>
    <x v="6"/>
    <x v="6"/>
    <x v="0"/>
  </r>
  <r>
    <x v="185"/>
    <x v="137"/>
    <x v="31"/>
    <x v="184"/>
    <x v="1"/>
    <x v="1"/>
    <x v="0"/>
    <x v="85"/>
    <x v="31"/>
    <x v="3"/>
    <x v="1"/>
    <x v="1"/>
    <x v="2"/>
    <x v="19"/>
    <x v="19"/>
    <x v="0"/>
  </r>
  <r>
    <x v="186"/>
    <x v="138"/>
    <x v="19"/>
    <x v="185"/>
    <x v="6"/>
    <x v="0"/>
    <x v="0"/>
    <x v="22"/>
    <x v="19"/>
    <x v="2"/>
    <x v="1"/>
    <x v="0"/>
    <x v="23"/>
    <x v="23"/>
    <x v="23"/>
    <x v="0"/>
  </r>
  <r>
    <x v="187"/>
    <x v="23"/>
    <x v="36"/>
    <x v="186"/>
    <x v="1"/>
    <x v="1"/>
    <x v="0"/>
    <x v="61"/>
    <x v="36"/>
    <x v="2"/>
    <x v="2"/>
    <x v="1"/>
    <x v="22"/>
    <x v="7"/>
    <x v="7"/>
    <x v="0"/>
  </r>
  <r>
    <x v="188"/>
    <x v="139"/>
    <x v="20"/>
    <x v="187"/>
    <x v="5"/>
    <x v="1"/>
    <x v="0"/>
    <x v="7"/>
    <x v="20"/>
    <x v="0"/>
    <x v="3"/>
    <x v="1"/>
    <x v="17"/>
    <x v="6"/>
    <x v="6"/>
    <x v="0"/>
  </r>
  <r>
    <x v="189"/>
    <x v="76"/>
    <x v="26"/>
    <x v="188"/>
    <x v="2"/>
    <x v="1"/>
    <x v="0"/>
    <x v="66"/>
    <x v="26"/>
    <x v="1"/>
    <x v="1"/>
    <x v="1"/>
    <x v="12"/>
    <x v="30"/>
    <x v="30"/>
    <x v="0"/>
  </r>
  <r>
    <x v="190"/>
    <x v="140"/>
    <x v="34"/>
    <x v="189"/>
    <x v="4"/>
    <x v="1"/>
    <x v="0"/>
    <x v="32"/>
    <x v="34"/>
    <x v="3"/>
    <x v="0"/>
    <x v="1"/>
    <x v="0"/>
    <x v="5"/>
    <x v="5"/>
    <x v="0"/>
  </r>
  <r>
    <x v="191"/>
    <x v="141"/>
    <x v="35"/>
    <x v="190"/>
    <x v="2"/>
    <x v="2"/>
    <x v="0"/>
    <x v="15"/>
    <x v="35"/>
    <x v="3"/>
    <x v="3"/>
    <x v="2"/>
    <x v="14"/>
    <x v="9"/>
    <x v="9"/>
    <x v="0"/>
  </r>
  <r>
    <x v="192"/>
    <x v="11"/>
    <x v="36"/>
    <x v="191"/>
    <x v="0"/>
    <x v="1"/>
    <x v="0"/>
    <x v="86"/>
    <x v="36"/>
    <x v="2"/>
    <x v="2"/>
    <x v="1"/>
    <x v="20"/>
    <x v="31"/>
    <x v="31"/>
    <x v="0"/>
  </r>
  <r>
    <x v="193"/>
    <x v="142"/>
    <x v="23"/>
    <x v="192"/>
    <x v="7"/>
    <x v="2"/>
    <x v="0"/>
    <x v="59"/>
    <x v="23"/>
    <x v="6"/>
    <x v="3"/>
    <x v="2"/>
    <x v="17"/>
    <x v="16"/>
    <x v="16"/>
    <x v="0"/>
  </r>
  <r>
    <x v="194"/>
    <x v="100"/>
    <x v="16"/>
    <x v="156"/>
    <x v="3"/>
    <x v="0"/>
    <x v="0"/>
    <x v="17"/>
    <x v="16"/>
    <x v="3"/>
    <x v="3"/>
    <x v="0"/>
    <x v="1"/>
    <x v="4"/>
    <x v="4"/>
    <x v="0"/>
  </r>
  <r>
    <x v="195"/>
    <x v="124"/>
    <x v="24"/>
    <x v="193"/>
    <x v="1"/>
    <x v="1"/>
    <x v="0"/>
    <x v="7"/>
    <x v="24"/>
    <x v="2"/>
    <x v="0"/>
    <x v="1"/>
    <x v="17"/>
    <x v="1"/>
    <x v="1"/>
    <x v="0"/>
  </r>
  <r>
    <x v="196"/>
    <x v="143"/>
    <x v="10"/>
    <x v="194"/>
    <x v="1"/>
    <x v="1"/>
    <x v="0"/>
    <x v="14"/>
    <x v="10"/>
    <x v="1"/>
    <x v="2"/>
    <x v="1"/>
    <x v="12"/>
    <x v="1"/>
    <x v="1"/>
    <x v="0"/>
  </r>
  <r>
    <x v="197"/>
    <x v="38"/>
    <x v="20"/>
    <x v="195"/>
    <x v="3"/>
    <x v="1"/>
    <x v="0"/>
    <x v="32"/>
    <x v="20"/>
    <x v="0"/>
    <x v="3"/>
    <x v="1"/>
    <x v="13"/>
    <x v="4"/>
    <x v="4"/>
    <x v="0"/>
  </r>
  <r>
    <x v="198"/>
    <x v="144"/>
    <x v="23"/>
    <x v="196"/>
    <x v="7"/>
    <x v="0"/>
    <x v="0"/>
    <x v="54"/>
    <x v="23"/>
    <x v="6"/>
    <x v="3"/>
    <x v="0"/>
    <x v="29"/>
    <x v="18"/>
    <x v="18"/>
    <x v="0"/>
  </r>
  <r>
    <x v="199"/>
    <x v="145"/>
    <x v="25"/>
    <x v="197"/>
    <x v="3"/>
    <x v="1"/>
    <x v="0"/>
    <x v="83"/>
    <x v="25"/>
    <x v="5"/>
    <x v="3"/>
    <x v="1"/>
    <x v="2"/>
    <x v="40"/>
    <x v="40"/>
    <x v="0"/>
  </r>
  <r>
    <x v="200"/>
    <x v="146"/>
    <x v="30"/>
    <x v="198"/>
    <x v="3"/>
    <x v="1"/>
    <x v="0"/>
    <x v="64"/>
    <x v="30"/>
    <x v="6"/>
    <x v="1"/>
    <x v="1"/>
    <x v="23"/>
    <x v="4"/>
    <x v="4"/>
    <x v="0"/>
  </r>
  <r>
    <x v="201"/>
    <x v="147"/>
    <x v="29"/>
    <x v="199"/>
    <x v="1"/>
    <x v="1"/>
    <x v="0"/>
    <x v="19"/>
    <x v="29"/>
    <x v="1"/>
    <x v="3"/>
    <x v="1"/>
    <x v="28"/>
    <x v="1"/>
    <x v="1"/>
    <x v="0"/>
  </r>
  <r>
    <x v="202"/>
    <x v="148"/>
    <x v="21"/>
    <x v="200"/>
    <x v="7"/>
    <x v="1"/>
    <x v="0"/>
    <x v="48"/>
    <x v="21"/>
    <x v="5"/>
    <x v="2"/>
    <x v="1"/>
    <x v="26"/>
    <x v="18"/>
    <x v="18"/>
    <x v="0"/>
  </r>
  <r>
    <x v="203"/>
    <x v="149"/>
    <x v="19"/>
    <x v="201"/>
    <x v="1"/>
    <x v="3"/>
    <x v="0"/>
    <x v="49"/>
    <x v="19"/>
    <x v="2"/>
    <x v="1"/>
    <x v="3"/>
    <x v="25"/>
    <x v="1"/>
    <x v="1"/>
    <x v="0"/>
  </r>
  <r>
    <x v="204"/>
    <x v="53"/>
    <x v="7"/>
    <x v="202"/>
    <x v="1"/>
    <x v="3"/>
    <x v="0"/>
    <x v="73"/>
    <x v="7"/>
    <x v="3"/>
    <x v="0"/>
    <x v="3"/>
    <x v="28"/>
    <x v="1"/>
    <x v="1"/>
    <x v="0"/>
  </r>
  <r>
    <x v="205"/>
    <x v="129"/>
    <x v="12"/>
    <x v="203"/>
    <x v="1"/>
    <x v="1"/>
    <x v="1"/>
    <x v="22"/>
    <x v="12"/>
    <x v="5"/>
    <x v="2"/>
    <x v="1"/>
    <x v="5"/>
    <x v="1"/>
    <x v="1"/>
    <x v="0"/>
  </r>
  <r>
    <x v="206"/>
    <x v="47"/>
    <x v="38"/>
    <x v="204"/>
    <x v="4"/>
    <x v="1"/>
    <x v="0"/>
    <x v="67"/>
    <x v="38"/>
    <x v="5"/>
    <x v="1"/>
    <x v="1"/>
    <x v="13"/>
    <x v="39"/>
    <x v="39"/>
    <x v="1"/>
  </r>
  <r>
    <x v="207"/>
    <x v="112"/>
    <x v="9"/>
    <x v="205"/>
    <x v="7"/>
    <x v="1"/>
    <x v="0"/>
    <x v="4"/>
    <x v="9"/>
    <x v="1"/>
    <x v="3"/>
    <x v="1"/>
    <x v="6"/>
    <x v="18"/>
    <x v="18"/>
    <x v="0"/>
  </r>
  <r>
    <x v="208"/>
    <x v="124"/>
    <x v="5"/>
    <x v="206"/>
    <x v="7"/>
    <x v="1"/>
    <x v="0"/>
    <x v="72"/>
    <x v="5"/>
    <x v="2"/>
    <x v="1"/>
    <x v="1"/>
    <x v="20"/>
    <x v="41"/>
    <x v="41"/>
    <x v="0"/>
  </r>
  <r>
    <x v="209"/>
    <x v="150"/>
    <x v="22"/>
    <x v="207"/>
    <x v="1"/>
    <x v="1"/>
    <x v="0"/>
    <x v="32"/>
    <x v="22"/>
    <x v="6"/>
    <x v="3"/>
    <x v="1"/>
    <x v="4"/>
    <x v="1"/>
    <x v="1"/>
    <x v="0"/>
  </r>
  <r>
    <x v="210"/>
    <x v="151"/>
    <x v="18"/>
    <x v="208"/>
    <x v="2"/>
    <x v="1"/>
    <x v="0"/>
    <x v="54"/>
    <x v="18"/>
    <x v="6"/>
    <x v="2"/>
    <x v="1"/>
    <x v="14"/>
    <x v="9"/>
    <x v="9"/>
    <x v="0"/>
  </r>
  <r>
    <x v="211"/>
    <x v="152"/>
    <x v="24"/>
    <x v="209"/>
    <x v="1"/>
    <x v="1"/>
    <x v="0"/>
    <x v="50"/>
    <x v="24"/>
    <x v="2"/>
    <x v="0"/>
    <x v="1"/>
    <x v="18"/>
    <x v="1"/>
    <x v="1"/>
    <x v="0"/>
  </r>
  <r>
    <x v="212"/>
    <x v="62"/>
    <x v="21"/>
    <x v="210"/>
    <x v="3"/>
    <x v="1"/>
    <x v="0"/>
    <x v="28"/>
    <x v="21"/>
    <x v="5"/>
    <x v="2"/>
    <x v="1"/>
    <x v="4"/>
    <x v="4"/>
    <x v="4"/>
    <x v="0"/>
  </r>
  <r>
    <x v="213"/>
    <x v="84"/>
    <x v="12"/>
    <x v="211"/>
    <x v="1"/>
    <x v="1"/>
    <x v="0"/>
    <x v="26"/>
    <x v="12"/>
    <x v="5"/>
    <x v="2"/>
    <x v="1"/>
    <x v="29"/>
    <x v="1"/>
    <x v="1"/>
    <x v="0"/>
  </r>
  <r>
    <x v="214"/>
    <x v="98"/>
    <x v="10"/>
    <x v="212"/>
    <x v="3"/>
    <x v="1"/>
    <x v="0"/>
    <x v="36"/>
    <x v="10"/>
    <x v="1"/>
    <x v="2"/>
    <x v="1"/>
    <x v="13"/>
    <x v="4"/>
    <x v="4"/>
    <x v="0"/>
  </r>
  <r>
    <x v="215"/>
    <x v="153"/>
    <x v="16"/>
    <x v="213"/>
    <x v="5"/>
    <x v="0"/>
    <x v="0"/>
    <x v="42"/>
    <x v="16"/>
    <x v="3"/>
    <x v="3"/>
    <x v="0"/>
    <x v="26"/>
    <x v="6"/>
    <x v="6"/>
    <x v="0"/>
  </r>
  <r>
    <x v="216"/>
    <x v="142"/>
    <x v="30"/>
    <x v="214"/>
    <x v="5"/>
    <x v="1"/>
    <x v="0"/>
    <x v="19"/>
    <x v="30"/>
    <x v="6"/>
    <x v="1"/>
    <x v="1"/>
    <x v="18"/>
    <x v="22"/>
    <x v="22"/>
    <x v="0"/>
  </r>
  <r>
    <x v="217"/>
    <x v="154"/>
    <x v="36"/>
    <x v="215"/>
    <x v="5"/>
    <x v="0"/>
    <x v="0"/>
    <x v="0"/>
    <x v="36"/>
    <x v="2"/>
    <x v="2"/>
    <x v="0"/>
    <x v="13"/>
    <x v="6"/>
    <x v="6"/>
    <x v="0"/>
  </r>
  <r>
    <x v="218"/>
    <x v="126"/>
    <x v="38"/>
    <x v="216"/>
    <x v="1"/>
    <x v="1"/>
    <x v="0"/>
    <x v="83"/>
    <x v="38"/>
    <x v="5"/>
    <x v="1"/>
    <x v="1"/>
    <x v="27"/>
    <x v="1"/>
    <x v="1"/>
    <x v="0"/>
  </r>
  <r>
    <x v="219"/>
    <x v="49"/>
    <x v="39"/>
    <x v="217"/>
    <x v="6"/>
    <x v="0"/>
    <x v="0"/>
    <x v="87"/>
    <x v="39"/>
    <x v="1"/>
    <x v="1"/>
    <x v="0"/>
    <x v="9"/>
    <x v="23"/>
    <x v="23"/>
    <x v="0"/>
  </r>
  <r>
    <x v="220"/>
    <x v="155"/>
    <x v="37"/>
    <x v="218"/>
    <x v="8"/>
    <x v="0"/>
    <x v="0"/>
    <x v="78"/>
    <x v="37"/>
    <x v="1"/>
    <x v="2"/>
    <x v="0"/>
    <x v="10"/>
    <x v="36"/>
    <x v="36"/>
    <x v="1"/>
  </r>
  <r>
    <x v="221"/>
    <x v="145"/>
    <x v="14"/>
    <x v="219"/>
    <x v="1"/>
    <x v="1"/>
    <x v="0"/>
    <x v="35"/>
    <x v="14"/>
    <x v="2"/>
    <x v="2"/>
    <x v="1"/>
    <x v="2"/>
    <x v="33"/>
    <x v="33"/>
    <x v="0"/>
  </r>
  <r>
    <x v="222"/>
    <x v="1"/>
    <x v="5"/>
    <x v="220"/>
    <x v="1"/>
    <x v="1"/>
    <x v="0"/>
    <x v="66"/>
    <x v="5"/>
    <x v="2"/>
    <x v="1"/>
    <x v="1"/>
    <x v="20"/>
    <x v="41"/>
    <x v="41"/>
    <x v="0"/>
  </r>
  <r>
    <x v="223"/>
    <x v="156"/>
    <x v="27"/>
    <x v="221"/>
    <x v="1"/>
    <x v="3"/>
    <x v="0"/>
    <x v="70"/>
    <x v="27"/>
    <x v="3"/>
    <x v="0"/>
    <x v="3"/>
    <x v="11"/>
    <x v="1"/>
    <x v="1"/>
    <x v="0"/>
  </r>
  <r>
    <x v="224"/>
    <x v="143"/>
    <x v="21"/>
    <x v="222"/>
    <x v="5"/>
    <x v="1"/>
    <x v="0"/>
    <x v="88"/>
    <x v="21"/>
    <x v="5"/>
    <x v="2"/>
    <x v="1"/>
    <x v="3"/>
    <x v="6"/>
    <x v="6"/>
    <x v="0"/>
  </r>
  <r>
    <x v="225"/>
    <x v="135"/>
    <x v="1"/>
    <x v="223"/>
    <x v="1"/>
    <x v="1"/>
    <x v="2"/>
    <x v="86"/>
    <x v="1"/>
    <x v="1"/>
    <x v="1"/>
    <x v="1"/>
    <x v="23"/>
    <x v="1"/>
    <x v="1"/>
    <x v="0"/>
  </r>
  <r>
    <x v="226"/>
    <x v="62"/>
    <x v="2"/>
    <x v="224"/>
    <x v="2"/>
    <x v="3"/>
    <x v="1"/>
    <x v="1"/>
    <x v="2"/>
    <x v="1"/>
    <x v="1"/>
    <x v="3"/>
    <x v="1"/>
    <x v="9"/>
    <x v="9"/>
    <x v="0"/>
  </r>
  <r>
    <x v="227"/>
    <x v="133"/>
    <x v="18"/>
    <x v="225"/>
    <x v="1"/>
    <x v="0"/>
    <x v="0"/>
    <x v="17"/>
    <x v="18"/>
    <x v="6"/>
    <x v="2"/>
    <x v="0"/>
    <x v="17"/>
    <x v="1"/>
    <x v="1"/>
    <x v="0"/>
  </r>
  <r>
    <x v="228"/>
    <x v="156"/>
    <x v="35"/>
    <x v="226"/>
    <x v="5"/>
    <x v="0"/>
    <x v="1"/>
    <x v="7"/>
    <x v="35"/>
    <x v="3"/>
    <x v="3"/>
    <x v="0"/>
    <x v="19"/>
    <x v="6"/>
    <x v="6"/>
    <x v="0"/>
  </r>
  <r>
    <x v="229"/>
    <x v="25"/>
    <x v="3"/>
    <x v="227"/>
    <x v="4"/>
    <x v="1"/>
    <x v="0"/>
    <x v="60"/>
    <x v="3"/>
    <x v="2"/>
    <x v="2"/>
    <x v="1"/>
    <x v="18"/>
    <x v="12"/>
    <x v="12"/>
    <x v="0"/>
  </r>
  <r>
    <x v="230"/>
    <x v="157"/>
    <x v="30"/>
    <x v="228"/>
    <x v="7"/>
    <x v="1"/>
    <x v="0"/>
    <x v="89"/>
    <x v="30"/>
    <x v="6"/>
    <x v="1"/>
    <x v="1"/>
    <x v="7"/>
    <x v="18"/>
    <x v="18"/>
    <x v="0"/>
  </r>
  <r>
    <x v="231"/>
    <x v="158"/>
    <x v="5"/>
    <x v="229"/>
    <x v="1"/>
    <x v="0"/>
    <x v="0"/>
    <x v="90"/>
    <x v="5"/>
    <x v="2"/>
    <x v="1"/>
    <x v="0"/>
    <x v="18"/>
    <x v="1"/>
    <x v="1"/>
    <x v="0"/>
  </r>
  <r>
    <x v="232"/>
    <x v="159"/>
    <x v="0"/>
    <x v="230"/>
    <x v="5"/>
    <x v="1"/>
    <x v="0"/>
    <x v="49"/>
    <x v="0"/>
    <x v="0"/>
    <x v="0"/>
    <x v="1"/>
    <x v="6"/>
    <x v="22"/>
    <x v="22"/>
    <x v="0"/>
  </r>
  <r>
    <x v="233"/>
    <x v="160"/>
    <x v="38"/>
    <x v="231"/>
    <x v="5"/>
    <x v="1"/>
    <x v="0"/>
    <x v="43"/>
    <x v="38"/>
    <x v="5"/>
    <x v="1"/>
    <x v="1"/>
    <x v="14"/>
    <x v="6"/>
    <x v="6"/>
    <x v="0"/>
  </r>
  <r>
    <x v="234"/>
    <x v="161"/>
    <x v="33"/>
    <x v="232"/>
    <x v="1"/>
    <x v="1"/>
    <x v="0"/>
    <x v="18"/>
    <x v="33"/>
    <x v="6"/>
    <x v="0"/>
    <x v="1"/>
    <x v="21"/>
    <x v="1"/>
    <x v="1"/>
    <x v="0"/>
  </r>
  <r>
    <x v="235"/>
    <x v="162"/>
    <x v="26"/>
    <x v="233"/>
    <x v="3"/>
    <x v="3"/>
    <x v="2"/>
    <x v="47"/>
    <x v="26"/>
    <x v="1"/>
    <x v="1"/>
    <x v="3"/>
    <x v="21"/>
    <x v="26"/>
    <x v="26"/>
    <x v="0"/>
  </r>
  <r>
    <x v="236"/>
    <x v="93"/>
    <x v="12"/>
    <x v="234"/>
    <x v="6"/>
    <x v="3"/>
    <x v="0"/>
    <x v="40"/>
    <x v="12"/>
    <x v="5"/>
    <x v="2"/>
    <x v="3"/>
    <x v="3"/>
    <x v="23"/>
    <x v="23"/>
    <x v="0"/>
  </r>
  <r>
    <x v="237"/>
    <x v="163"/>
    <x v="26"/>
    <x v="235"/>
    <x v="7"/>
    <x v="1"/>
    <x v="0"/>
    <x v="32"/>
    <x v="26"/>
    <x v="1"/>
    <x v="1"/>
    <x v="1"/>
    <x v="19"/>
    <x v="18"/>
    <x v="18"/>
    <x v="0"/>
  </r>
  <r>
    <x v="238"/>
    <x v="164"/>
    <x v="7"/>
    <x v="236"/>
    <x v="0"/>
    <x v="3"/>
    <x v="0"/>
    <x v="46"/>
    <x v="7"/>
    <x v="3"/>
    <x v="0"/>
    <x v="3"/>
    <x v="24"/>
    <x v="31"/>
    <x v="31"/>
    <x v="0"/>
  </r>
  <r>
    <x v="239"/>
    <x v="165"/>
    <x v="15"/>
    <x v="237"/>
    <x v="1"/>
    <x v="0"/>
    <x v="1"/>
    <x v="18"/>
    <x v="15"/>
    <x v="6"/>
    <x v="3"/>
    <x v="0"/>
    <x v="22"/>
    <x v="1"/>
    <x v="1"/>
    <x v="0"/>
  </r>
  <r>
    <x v="240"/>
    <x v="127"/>
    <x v="13"/>
    <x v="238"/>
    <x v="3"/>
    <x v="1"/>
    <x v="1"/>
    <x v="66"/>
    <x v="13"/>
    <x v="3"/>
    <x v="1"/>
    <x v="1"/>
    <x v="17"/>
    <x v="27"/>
    <x v="27"/>
    <x v="0"/>
  </r>
  <r>
    <x v="241"/>
    <x v="166"/>
    <x v="11"/>
    <x v="239"/>
    <x v="5"/>
    <x v="3"/>
    <x v="0"/>
    <x v="37"/>
    <x v="11"/>
    <x v="0"/>
    <x v="3"/>
    <x v="3"/>
    <x v="8"/>
    <x v="32"/>
    <x v="32"/>
    <x v="0"/>
  </r>
  <r>
    <x v="242"/>
    <x v="167"/>
    <x v="26"/>
    <x v="240"/>
    <x v="4"/>
    <x v="1"/>
    <x v="0"/>
    <x v="73"/>
    <x v="26"/>
    <x v="1"/>
    <x v="1"/>
    <x v="1"/>
    <x v="17"/>
    <x v="15"/>
    <x v="15"/>
    <x v="0"/>
  </r>
  <r>
    <x v="243"/>
    <x v="168"/>
    <x v="20"/>
    <x v="241"/>
    <x v="1"/>
    <x v="3"/>
    <x v="0"/>
    <x v="48"/>
    <x v="20"/>
    <x v="0"/>
    <x v="3"/>
    <x v="3"/>
    <x v="8"/>
    <x v="1"/>
    <x v="1"/>
    <x v="0"/>
  </r>
  <r>
    <x v="244"/>
    <x v="56"/>
    <x v="3"/>
    <x v="242"/>
    <x v="5"/>
    <x v="1"/>
    <x v="0"/>
    <x v="91"/>
    <x v="3"/>
    <x v="2"/>
    <x v="2"/>
    <x v="1"/>
    <x v="14"/>
    <x v="34"/>
    <x v="34"/>
    <x v="0"/>
  </r>
  <r>
    <x v="245"/>
    <x v="160"/>
    <x v="4"/>
    <x v="243"/>
    <x v="7"/>
    <x v="3"/>
    <x v="0"/>
    <x v="24"/>
    <x v="4"/>
    <x v="3"/>
    <x v="3"/>
    <x v="3"/>
    <x v="29"/>
    <x v="8"/>
    <x v="8"/>
    <x v="0"/>
  </r>
  <r>
    <x v="246"/>
    <x v="169"/>
    <x v="36"/>
    <x v="244"/>
    <x v="7"/>
    <x v="1"/>
    <x v="0"/>
    <x v="22"/>
    <x v="36"/>
    <x v="2"/>
    <x v="2"/>
    <x v="1"/>
    <x v="20"/>
    <x v="31"/>
    <x v="31"/>
    <x v="0"/>
  </r>
  <r>
    <x v="247"/>
    <x v="86"/>
    <x v="14"/>
    <x v="245"/>
    <x v="4"/>
    <x v="1"/>
    <x v="0"/>
    <x v="64"/>
    <x v="14"/>
    <x v="2"/>
    <x v="2"/>
    <x v="1"/>
    <x v="4"/>
    <x v="3"/>
    <x v="3"/>
    <x v="0"/>
  </r>
  <r>
    <x v="248"/>
    <x v="170"/>
    <x v="29"/>
    <x v="246"/>
    <x v="2"/>
    <x v="1"/>
    <x v="0"/>
    <x v="62"/>
    <x v="29"/>
    <x v="1"/>
    <x v="3"/>
    <x v="1"/>
    <x v="21"/>
    <x v="30"/>
    <x v="30"/>
    <x v="0"/>
  </r>
  <r>
    <x v="249"/>
    <x v="146"/>
    <x v="23"/>
    <x v="247"/>
    <x v="2"/>
    <x v="0"/>
    <x v="0"/>
    <x v="82"/>
    <x v="23"/>
    <x v="6"/>
    <x v="3"/>
    <x v="0"/>
    <x v="8"/>
    <x v="9"/>
    <x v="9"/>
    <x v="0"/>
  </r>
  <r>
    <x v="250"/>
    <x v="171"/>
    <x v="38"/>
    <x v="248"/>
    <x v="0"/>
    <x v="0"/>
    <x v="0"/>
    <x v="43"/>
    <x v="38"/>
    <x v="5"/>
    <x v="1"/>
    <x v="0"/>
    <x v="13"/>
    <x v="39"/>
    <x v="39"/>
    <x v="1"/>
  </r>
  <r>
    <x v="251"/>
    <x v="67"/>
    <x v="34"/>
    <x v="249"/>
    <x v="1"/>
    <x v="3"/>
    <x v="0"/>
    <x v="8"/>
    <x v="34"/>
    <x v="3"/>
    <x v="0"/>
    <x v="3"/>
    <x v="7"/>
    <x v="17"/>
    <x v="17"/>
    <x v="0"/>
  </r>
  <r>
    <x v="252"/>
    <x v="67"/>
    <x v="22"/>
    <x v="250"/>
    <x v="5"/>
    <x v="3"/>
    <x v="0"/>
    <x v="58"/>
    <x v="22"/>
    <x v="6"/>
    <x v="3"/>
    <x v="3"/>
    <x v="27"/>
    <x v="6"/>
    <x v="6"/>
    <x v="0"/>
  </r>
  <r>
    <x v="253"/>
    <x v="25"/>
    <x v="25"/>
    <x v="251"/>
    <x v="1"/>
    <x v="1"/>
    <x v="0"/>
    <x v="92"/>
    <x v="25"/>
    <x v="5"/>
    <x v="3"/>
    <x v="1"/>
    <x v="26"/>
    <x v="1"/>
    <x v="1"/>
    <x v="0"/>
  </r>
  <r>
    <x v="254"/>
    <x v="172"/>
    <x v="36"/>
    <x v="252"/>
    <x v="4"/>
    <x v="1"/>
    <x v="0"/>
    <x v="20"/>
    <x v="36"/>
    <x v="2"/>
    <x v="2"/>
    <x v="1"/>
    <x v="8"/>
    <x v="5"/>
    <x v="5"/>
    <x v="0"/>
  </r>
  <r>
    <x v="255"/>
    <x v="173"/>
    <x v="31"/>
    <x v="253"/>
    <x v="4"/>
    <x v="3"/>
    <x v="0"/>
    <x v="84"/>
    <x v="31"/>
    <x v="3"/>
    <x v="1"/>
    <x v="3"/>
    <x v="8"/>
    <x v="5"/>
    <x v="5"/>
    <x v="0"/>
  </r>
  <r>
    <x v="256"/>
    <x v="22"/>
    <x v="3"/>
    <x v="254"/>
    <x v="4"/>
    <x v="1"/>
    <x v="0"/>
    <x v="30"/>
    <x v="3"/>
    <x v="2"/>
    <x v="2"/>
    <x v="1"/>
    <x v="28"/>
    <x v="42"/>
    <x v="42"/>
    <x v="0"/>
  </r>
  <r>
    <x v="257"/>
    <x v="174"/>
    <x v="34"/>
    <x v="255"/>
    <x v="1"/>
    <x v="1"/>
    <x v="0"/>
    <x v="66"/>
    <x v="34"/>
    <x v="3"/>
    <x v="0"/>
    <x v="1"/>
    <x v="24"/>
    <x v="1"/>
    <x v="1"/>
    <x v="0"/>
  </r>
  <r>
    <x v="258"/>
    <x v="37"/>
    <x v="36"/>
    <x v="256"/>
    <x v="1"/>
    <x v="1"/>
    <x v="0"/>
    <x v="65"/>
    <x v="36"/>
    <x v="2"/>
    <x v="2"/>
    <x v="1"/>
    <x v="27"/>
    <x v="1"/>
    <x v="1"/>
    <x v="0"/>
  </r>
  <r>
    <x v="259"/>
    <x v="175"/>
    <x v="39"/>
    <x v="257"/>
    <x v="6"/>
    <x v="0"/>
    <x v="0"/>
    <x v="28"/>
    <x v="39"/>
    <x v="1"/>
    <x v="1"/>
    <x v="0"/>
    <x v="13"/>
    <x v="35"/>
    <x v="35"/>
    <x v="0"/>
  </r>
  <r>
    <x v="260"/>
    <x v="176"/>
    <x v="12"/>
    <x v="258"/>
    <x v="5"/>
    <x v="1"/>
    <x v="0"/>
    <x v="45"/>
    <x v="12"/>
    <x v="5"/>
    <x v="2"/>
    <x v="1"/>
    <x v="11"/>
    <x v="6"/>
    <x v="6"/>
    <x v="0"/>
  </r>
  <r>
    <x v="261"/>
    <x v="95"/>
    <x v="31"/>
    <x v="259"/>
    <x v="3"/>
    <x v="2"/>
    <x v="0"/>
    <x v="16"/>
    <x v="31"/>
    <x v="3"/>
    <x v="1"/>
    <x v="2"/>
    <x v="2"/>
    <x v="19"/>
    <x v="19"/>
    <x v="0"/>
  </r>
  <r>
    <x v="262"/>
    <x v="177"/>
    <x v="13"/>
    <x v="260"/>
    <x v="7"/>
    <x v="1"/>
    <x v="0"/>
    <x v="42"/>
    <x v="13"/>
    <x v="3"/>
    <x v="1"/>
    <x v="1"/>
    <x v="2"/>
    <x v="18"/>
    <x v="18"/>
    <x v="0"/>
  </r>
  <r>
    <x v="263"/>
    <x v="46"/>
    <x v="0"/>
    <x v="261"/>
    <x v="1"/>
    <x v="0"/>
    <x v="1"/>
    <x v="6"/>
    <x v="0"/>
    <x v="0"/>
    <x v="0"/>
    <x v="0"/>
    <x v="2"/>
    <x v="43"/>
    <x v="43"/>
    <x v="0"/>
  </r>
  <r>
    <x v="264"/>
    <x v="73"/>
    <x v="31"/>
    <x v="262"/>
    <x v="5"/>
    <x v="1"/>
    <x v="0"/>
    <x v="16"/>
    <x v="31"/>
    <x v="3"/>
    <x v="1"/>
    <x v="1"/>
    <x v="16"/>
    <x v="22"/>
    <x v="22"/>
    <x v="0"/>
  </r>
  <r>
    <x v="265"/>
    <x v="86"/>
    <x v="14"/>
    <x v="263"/>
    <x v="0"/>
    <x v="0"/>
    <x v="0"/>
    <x v="48"/>
    <x v="14"/>
    <x v="2"/>
    <x v="2"/>
    <x v="0"/>
    <x v="23"/>
    <x v="10"/>
    <x v="10"/>
    <x v="0"/>
  </r>
  <r>
    <x v="266"/>
    <x v="178"/>
    <x v="38"/>
    <x v="264"/>
    <x v="0"/>
    <x v="0"/>
    <x v="0"/>
    <x v="27"/>
    <x v="38"/>
    <x v="5"/>
    <x v="1"/>
    <x v="0"/>
    <x v="18"/>
    <x v="0"/>
    <x v="0"/>
    <x v="0"/>
  </r>
  <r>
    <x v="267"/>
    <x v="179"/>
    <x v="20"/>
    <x v="265"/>
    <x v="5"/>
    <x v="0"/>
    <x v="0"/>
    <x v="53"/>
    <x v="20"/>
    <x v="0"/>
    <x v="3"/>
    <x v="0"/>
    <x v="19"/>
    <x v="6"/>
    <x v="6"/>
    <x v="0"/>
  </r>
  <r>
    <x v="268"/>
    <x v="180"/>
    <x v="30"/>
    <x v="266"/>
    <x v="6"/>
    <x v="2"/>
    <x v="0"/>
    <x v="19"/>
    <x v="30"/>
    <x v="6"/>
    <x v="1"/>
    <x v="2"/>
    <x v="15"/>
    <x v="23"/>
    <x v="23"/>
    <x v="0"/>
  </r>
  <r>
    <x v="269"/>
    <x v="61"/>
    <x v="11"/>
    <x v="267"/>
    <x v="7"/>
    <x v="1"/>
    <x v="1"/>
    <x v="93"/>
    <x v="11"/>
    <x v="0"/>
    <x v="3"/>
    <x v="1"/>
    <x v="29"/>
    <x v="18"/>
    <x v="18"/>
    <x v="0"/>
  </r>
  <r>
    <x v="270"/>
    <x v="181"/>
    <x v="26"/>
    <x v="268"/>
    <x v="4"/>
    <x v="1"/>
    <x v="2"/>
    <x v="8"/>
    <x v="26"/>
    <x v="1"/>
    <x v="1"/>
    <x v="1"/>
    <x v="6"/>
    <x v="3"/>
    <x v="3"/>
    <x v="0"/>
  </r>
  <r>
    <x v="271"/>
    <x v="182"/>
    <x v="22"/>
    <x v="269"/>
    <x v="2"/>
    <x v="1"/>
    <x v="1"/>
    <x v="48"/>
    <x v="22"/>
    <x v="6"/>
    <x v="3"/>
    <x v="1"/>
    <x v="3"/>
    <x v="9"/>
    <x v="9"/>
    <x v="0"/>
  </r>
  <r>
    <x v="272"/>
    <x v="83"/>
    <x v="31"/>
    <x v="270"/>
    <x v="7"/>
    <x v="1"/>
    <x v="0"/>
    <x v="60"/>
    <x v="31"/>
    <x v="3"/>
    <x v="1"/>
    <x v="1"/>
    <x v="28"/>
    <x v="18"/>
    <x v="18"/>
    <x v="0"/>
  </r>
  <r>
    <x v="273"/>
    <x v="82"/>
    <x v="3"/>
    <x v="271"/>
    <x v="4"/>
    <x v="1"/>
    <x v="0"/>
    <x v="93"/>
    <x v="3"/>
    <x v="2"/>
    <x v="2"/>
    <x v="1"/>
    <x v="9"/>
    <x v="5"/>
    <x v="5"/>
    <x v="0"/>
  </r>
  <r>
    <x v="274"/>
    <x v="183"/>
    <x v="39"/>
    <x v="272"/>
    <x v="7"/>
    <x v="1"/>
    <x v="0"/>
    <x v="87"/>
    <x v="39"/>
    <x v="1"/>
    <x v="1"/>
    <x v="1"/>
    <x v="14"/>
    <x v="18"/>
    <x v="18"/>
    <x v="0"/>
  </r>
  <r>
    <x v="275"/>
    <x v="184"/>
    <x v="37"/>
    <x v="273"/>
    <x v="7"/>
    <x v="1"/>
    <x v="0"/>
    <x v="41"/>
    <x v="37"/>
    <x v="1"/>
    <x v="2"/>
    <x v="1"/>
    <x v="20"/>
    <x v="31"/>
    <x v="31"/>
    <x v="0"/>
  </r>
  <r>
    <x v="276"/>
    <x v="185"/>
    <x v="25"/>
    <x v="274"/>
    <x v="7"/>
    <x v="1"/>
    <x v="0"/>
    <x v="90"/>
    <x v="25"/>
    <x v="5"/>
    <x v="3"/>
    <x v="1"/>
    <x v="9"/>
    <x v="18"/>
    <x v="18"/>
    <x v="0"/>
  </r>
  <r>
    <x v="277"/>
    <x v="186"/>
    <x v="13"/>
    <x v="275"/>
    <x v="1"/>
    <x v="1"/>
    <x v="0"/>
    <x v="63"/>
    <x v="13"/>
    <x v="3"/>
    <x v="1"/>
    <x v="1"/>
    <x v="26"/>
    <x v="22"/>
    <x v="22"/>
    <x v="0"/>
  </r>
  <r>
    <x v="278"/>
    <x v="187"/>
    <x v="1"/>
    <x v="276"/>
    <x v="7"/>
    <x v="2"/>
    <x v="0"/>
    <x v="79"/>
    <x v="1"/>
    <x v="1"/>
    <x v="1"/>
    <x v="2"/>
    <x v="27"/>
    <x v="18"/>
    <x v="18"/>
    <x v="0"/>
  </r>
  <r>
    <x v="279"/>
    <x v="188"/>
    <x v="30"/>
    <x v="277"/>
    <x v="5"/>
    <x v="0"/>
    <x v="0"/>
    <x v="78"/>
    <x v="30"/>
    <x v="6"/>
    <x v="1"/>
    <x v="0"/>
    <x v="16"/>
    <x v="29"/>
    <x v="29"/>
    <x v="0"/>
  </r>
  <r>
    <x v="280"/>
    <x v="189"/>
    <x v="11"/>
    <x v="278"/>
    <x v="6"/>
    <x v="1"/>
    <x v="0"/>
    <x v="73"/>
    <x v="11"/>
    <x v="0"/>
    <x v="3"/>
    <x v="1"/>
    <x v="26"/>
    <x v="23"/>
    <x v="23"/>
    <x v="0"/>
  </r>
  <r>
    <x v="281"/>
    <x v="101"/>
    <x v="10"/>
    <x v="279"/>
    <x v="1"/>
    <x v="1"/>
    <x v="1"/>
    <x v="72"/>
    <x v="10"/>
    <x v="1"/>
    <x v="2"/>
    <x v="1"/>
    <x v="5"/>
    <x v="1"/>
    <x v="1"/>
    <x v="0"/>
  </r>
  <r>
    <x v="282"/>
    <x v="190"/>
    <x v="1"/>
    <x v="280"/>
    <x v="8"/>
    <x v="1"/>
    <x v="0"/>
    <x v="94"/>
    <x v="1"/>
    <x v="1"/>
    <x v="1"/>
    <x v="1"/>
    <x v="26"/>
    <x v="20"/>
    <x v="20"/>
    <x v="0"/>
  </r>
  <r>
    <x v="283"/>
    <x v="169"/>
    <x v="31"/>
    <x v="281"/>
    <x v="1"/>
    <x v="0"/>
    <x v="0"/>
    <x v="32"/>
    <x v="31"/>
    <x v="3"/>
    <x v="1"/>
    <x v="0"/>
    <x v="13"/>
    <x v="1"/>
    <x v="1"/>
    <x v="0"/>
  </r>
  <r>
    <x v="284"/>
    <x v="104"/>
    <x v="25"/>
    <x v="282"/>
    <x v="2"/>
    <x v="1"/>
    <x v="0"/>
    <x v="84"/>
    <x v="25"/>
    <x v="5"/>
    <x v="3"/>
    <x v="1"/>
    <x v="18"/>
    <x v="9"/>
    <x v="9"/>
    <x v="0"/>
  </r>
  <r>
    <x v="285"/>
    <x v="93"/>
    <x v="14"/>
    <x v="283"/>
    <x v="1"/>
    <x v="1"/>
    <x v="0"/>
    <x v="53"/>
    <x v="14"/>
    <x v="2"/>
    <x v="2"/>
    <x v="1"/>
    <x v="11"/>
    <x v="1"/>
    <x v="1"/>
    <x v="0"/>
  </r>
  <r>
    <x v="286"/>
    <x v="191"/>
    <x v="32"/>
    <x v="284"/>
    <x v="1"/>
    <x v="3"/>
    <x v="0"/>
    <x v="8"/>
    <x v="32"/>
    <x v="4"/>
    <x v="2"/>
    <x v="3"/>
    <x v="10"/>
    <x v="22"/>
    <x v="22"/>
    <x v="0"/>
  </r>
  <r>
    <x v="287"/>
    <x v="192"/>
    <x v="23"/>
    <x v="285"/>
    <x v="5"/>
    <x v="1"/>
    <x v="0"/>
    <x v="30"/>
    <x v="23"/>
    <x v="6"/>
    <x v="3"/>
    <x v="1"/>
    <x v="5"/>
    <x v="6"/>
    <x v="6"/>
    <x v="0"/>
  </r>
  <r>
    <x v="288"/>
    <x v="94"/>
    <x v="39"/>
    <x v="286"/>
    <x v="5"/>
    <x v="1"/>
    <x v="0"/>
    <x v="68"/>
    <x v="39"/>
    <x v="1"/>
    <x v="1"/>
    <x v="1"/>
    <x v="23"/>
    <x v="6"/>
    <x v="6"/>
    <x v="0"/>
  </r>
  <r>
    <x v="289"/>
    <x v="193"/>
    <x v="9"/>
    <x v="287"/>
    <x v="2"/>
    <x v="2"/>
    <x v="0"/>
    <x v="25"/>
    <x v="9"/>
    <x v="1"/>
    <x v="3"/>
    <x v="2"/>
    <x v="28"/>
    <x v="30"/>
    <x v="30"/>
    <x v="0"/>
  </r>
  <r>
    <x v="290"/>
    <x v="77"/>
    <x v="9"/>
    <x v="288"/>
    <x v="3"/>
    <x v="0"/>
    <x v="0"/>
    <x v="27"/>
    <x v="9"/>
    <x v="1"/>
    <x v="3"/>
    <x v="0"/>
    <x v="13"/>
    <x v="4"/>
    <x v="4"/>
    <x v="0"/>
  </r>
  <r>
    <x v="291"/>
    <x v="194"/>
    <x v="4"/>
    <x v="289"/>
    <x v="1"/>
    <x v="1"/>
    <x v="0"/>
    <x v="86"/>
    <x v="4"/>
    <x v="3"/>
    <x v="3"/>
    <x v="1"/>
    <x v="29"/>
    <x v="8"/>
    <x v="8"/>
    <x v="0"/>
  </r>
  <r>
    <x v="292"/>
    <x v="178"/>
    <x v="4"/>
    <x v="290"/>
    <x v="6"/>
    <x v="1"/>
    <x v="0"/>
    <x v="14"/>
    <x v="4"/>
    <x v="3"/>
    <x v="3"/>
    <x v="1"/>
    <x v="25"/>
    <x v="44"/>
    <x v="44"/>
    <x v="0"/>
  </r>
  <r>
    <x v="293"/>
    <x v="195"/>
    <x v="8"/>
    <x v="291"/>
    <x v="3"/>
    <x v="0"/>
    <x v="0"/>
    <x v="5"/>
    <x v="8"/>
    <x v="4"/>
    <x v="3"/>
    <x v="0"/>
    <x v="3"/>
    <x v="4"/>
    <x v="4"/>
    <x v="0"/>
  </r>
  <r>
    <x v="294"/>
    <x v="196"/>
    <x v="6"/>
    <x v="292"/>
    <x v="1"/>
    <x v="3"/>
    <x v="0"/>
    <x v="19"/>
    <x v="6"/>
    <x v="2"/>
    <x v="3"/>
    <x v="3"/>
    <x v="10"/>
    <x v="8"/>
    <x v="8"/>
    <x v="0"/>
  </r>
  <r>
    <x v="295"/>
    <x v="21"/>
    <x v="3"/>
    <x v="293"/>
    <x v="6"/>
    <x v="1"/>
    <x v="0"/>
    <x v="4"/>
    <x v="3"/>
    <x v="2"/>
    <x v="2"/>
    <x v="1"/>
    <x v="28"/>
    <x v="42"/>
    <x v="42"/>
    <x v="0"/>
  </r>
  <r>
    <x v="296"/>
    <x v="197"/>
    <x v="26"/>
    <x v="294"/>
    <x v="3"/>
    <x v="0"/>
    <x v="0"/>
    <x v="37"/>
    <x v="26"/>
    <x v="1"/>
    <x v="1"/>
    <x v="0"/>
    <x v="1"/>
    <x v="4"/>
    <x v="4"/>
    <x v="0"/>
  </r>
  <r>
    <x v="297"/>
    <x v="198"/>
    <x v="31"/>
    <x v="295"/>
    <x v="4"/>
    <x v="1"/>
    <x v="0"/>
    <x v="95"/>
    <x v="31"/>
    <x v="3"/>
    <x v="1"/>
    <x v="1"/>
    <x v="7"/>
    <x v="5"/>
    <x v="5"/>
    <x v="0"/>
  </r>
  <r>
    <x v="298"/>
    <x v="199"/>
    <x v="18"/>
    <x v="296"/>
    <x v="3"/>
    <x v="1"/>
    <x v="0"/>
    <x v="17"/>
    <x v="18"/>
    <x v="6"/>
    <x v="2"/>
    <x v="1"/>
    <x v="10"/>
    <x v="4"/>
    <x v="4"/>
    <x v="0"/>
  </r>
  <r>
    <x v="299"/>
    <x v="66"/>
    <x v="17"/>
    <x v="297"/>
    <x v="1"/>
    <x v="1"/>
    <x v="0"/>
    <x v="49"/>
    <x v="17"/>
    <x v="6"/>
    <x v="3"/>
    <x v="1"/>
    <x v="26"/>
    <x v="1"/>
    <x v="1"/>
    <x v="0"/>
  </r>
  <r>
    <x v="300"/>
    <x v="119"/>
    <x v="15"/>
    <x v="298"/>
    <x v="1"/>
    <x v="1"/>
    <x v="0"/>
    <x v="52"/>
    <x v="15"/>
    <x v="6"/>
    <x v="3"/>
    <x v="1"/>
    <x v="29"/>
    <x v="22"/>
    <x v="22"/>
    <x v="0"/>
  </r>
  <r>
    <x v="301"/>
    <x v="200"/>
    <x v="26"/>
    <x v="299"/>
    <x v="7"/>
    <x v="3"/>
    <x v="0"/>
    <x v="8"/>
    <x v="26"/>
    <x v="1"/>
    <x v="1"/>
    <x v="3"/>
    <x v="26"/>
    <x v="18"/>
    <x v="18"/>
    <x v="0"/>
  </r>
  <r>
    <x v="302"/>
    <x v="201"/>
    <x v="12"/>
    <x v="300"/>
    <x v="7"/>
    <x v="1"/>
    <x v="0"/>
    <x v="17"/>
    <x v="12"/>
    <x v="5"/>
    <x v="2"/>
    <x v="1"/>
    <x v="17"/>
    <x v="18"/>
    <x v="18"/>
    <x v="0"/>
  </r>
  <r>
    <x v="303"/>
    <x v="202"/>
    <x v="32"/>
    <x v="301"/>
    <x v="5"/>
    <x v="1"/>
    <x v="0"/>
    <x v="0"/>
    <x v="32"/>
    <x v="4"/>
    <x v="2"/>
    <x v="1"/>
    <x v="10"/>
    <x v="22"/>
    <x v="22"/>
    <x v="0"/>
  </r>
  <r>
    <x v="304"/>
    <x v="203"/>
    <x v="2"/>
    <x v="302"/>
    <x v="7"/>
    <x v="0"/>
    <x v="0"/>
    <x v="96"/>
    <x v="2"/>
    <x v="1"/>
    <x v="1"/>
    <x v="0"/>
    <x v="8"/>
    <x v="18"/>
    <x v="18"/>
    <x v="0"/>
  </r>
  <r>
    <x v="305"/>
    <x v="204"/>
    <x v="4"/>
    <x v="303"/>
    <x v="3"/>
    <x v="2"/>
    <x v="0"/>
    <x v="58"/>
    <x v="4"/>
    <x v="3"/>
    <x v="3"/>
    <x v="2"/>
    <x v="14"/>
    <x v="4"/>
    <x v="4"/>
    <x v="0"/>
  </r>
  <r>
    <x v="306"/>
    <x v="134"/>
    <x v="31"/>
    <x v="304"/>
    <x v="1"/>
    <x v="3"/>
    <x v="0"/>
    <x v="13"/>
    <x v="31"/>
    <x v="3"/>
    <x v="1"/>
    <x v="3"/>
    <x v="29"/>
    <x v="1"/>
    <x v="1"/>
    <x v="0"/>
  </r>
  <r>
    <x v="307"/>
    <x v="168"/>
    <x v="34"/>
    <x v="305"/>
    <x v="2"/>
    <x v="3"/>
    <x v="0"/>
    <x v="16"/>
    <x v="34"/>
    <x v="3"/>
    <x v="0"/>
    <x v="3"/>
    <x v="11"/>
    <x v="9"/>
    <x v="9"/>
    <x v="0"/>
  </r>
  <r>
    <x v="308"/>
    <x v="205"/>
    <x v="32"/>
    <x v="306"/>
    <x v="1"/>
    <x v="1"/>
    <x v="0"/>
    <x v="73"/>
    <x v="32"/>
    <x v="4"/>
    <x v="2"/>
    <x v="1"/>
    <x v="17"/>
    <x v="7"/>
    <x v="7"/>
    <x v="0"/>
  </r>
  <r>
    <x v="309"/>
    <x v="195"/>
    <x v="17"/>
    <x v="307"/>
    <x v="6"/>
    <x v="1"/>
    <x v="0"/>
    <x v="75"/>
    <x v="17"/>
    <x v="6"/>
    <x v="3"/>
    <x v="1"/>
    <x v="14"/>
    <x v="23"/>
    <x v="23"/>
    <x v="0"/>
  </r>
  <r>
    <x v="310"/>
    <x v="47"/>
    <x v="9"/>
    <x v="79"/>
    <x v="4"/>
    <x v="2"/>
    <x v="0"/>
    <x v="78"/>
    <x v="9"/>
    <x v="1"/>
    <x v="3"/>
    <x v="2"/>
    <x v="10"/>
    <x v="5"/>
    <x v="5"/>
    <x v="0"/>
  </r>
  <r>
    <x v="311"/>
    <x v="129"/>
    <x v="30"/>
    <x v="308"/>
    <x v="1"/>
    <x v="1"/>
    <x v="0"/>
    <x v="29"/>
    <x v="30"/>
    <x v="6"/>
    <x v="1"/>
    <x v="1"/>
    <x v="18"/>
    <x v="22"/>
    <x v="22"/>
    <x v="0"/>
  </r>
  <r>
    <x v="312"/>
    <x v="206"/>
    <x v="16"/>
    <x v="309"/>
    <x v="2"/>
    <x v="1"/>
    <x v="0"/>
    <x v="22"/>
    <x v="16"/>
    <x v="3"/>
    <x v="3"/>
    <x v="1"/>
    <x v="21"/>
    <x v="12"/>
    <x v="12"/>
    <x v="0"/>
  </r>
  <r>
    <x v="313"/>
    <x v="76"/>
    <x v="6"/>
    <x v="310"/>
    <x v="3"/>
    <x v="0"/>
    <x v="0"/>
    <x v="55"/>
    <x v="6"/>
    <x v="2"/>
    <x v="3"/>
    <x v="0"/>
    <x v="27"/>
    <x v="4"/>
    <x v="4"/>
    <x v="0"/>
  </r>
  <r>
    <x v="314"/>
    <x v="160"/>
    <x v="26"/>
    <x v="311"/>
    <x v="4"/>
    <x v="1"/>
    <x v="0"/>
    <x v="20"/>
    <x v="26"/>
    <x v="1"/>
    <x v="1"/>
    <x v="1"/>
    <x v="14"/>
    <x v="5"/>
    <x v="5"/>
    <x v="0"/>
  </r>
  <r>
    <x v="315"/>
    <x v="207"/>
    <x v="5"/>
    <x v="312"/>
    <x v="1"/>
    <x v="2"/>
    <x v="0"/>
    <x v="12"/>
    <x v="5"/>
    <x v="2"/>
    <x v="1"/>
    <x v="2"/>
    <x v="16"/>
    <x v="1"/>
    <x v="1"/>
    <x v="0"/>
  </r>
  <r>
    <x v="316"/>
    <x v="208"/>
    <x v="15"/>
    <x v="313"/>
    <x v="5"/>
    <x v="0"/>
    <x v="0"/>
    <x v="97"/>
    <x v="15"/>
    <x v="6"/>
    <x v="3"/>
    <x v="0"/>
    <x v="29"/>
    <x v="22"/>
    <x v="22"/>
    <x v="0"/>
  </r>
  <r>
    <x v="317"/>
    <x v="35"/>
    <x v="9"/>
    <x v="314"/>
    <x v="1"/>
    <x v="2"/>
    <x v="0"/>
    <x v="13"/>
    <x v="9"/>
    <x v="1"/>
    <x v="3"/>
    <x v="2"/>
    <x v="20"/>
    <x v="34"/>
    <x v="34"/>
    <x v="0"/>
  </r>
  <r>
    <x v="318"/>
    <x v="178"/>
    <x v="39"/>
    <x v="315"/>
    <x v="7"/>
    <x v="1"/>
    <x v="0"/>
    <x v="63"/>
    <x v="39"/>
    <x v="1"/>
    <x v="1"/>
    <x v="1"/>
    <x v="18"/>
    <x v="45"/>
    <x v="45"/>
    <x v="0"/>
  </r>
  <r>
    <x v="319"/>
    <x v="209"/>
    <x v="25"/>
    <x v="316"/>
    <x v="1"/>
    <x v="0"/>
    <x v="0"/>
    <x v="73"/>
    <x v="25"/>
    <x v="5"/>
    <x v="3"/>
    <x v="0"/>
    <x v="16"/>
    <x v="8"/>
    <x v="8"/>
    <x v="0"/>
  </r>
  <r>
    <x v="320"/>
    <x v="100"/>
    <x v="39"/>
    <x v="317"/>
    <x v="5"/>
    <x v="1"/>
    <x v="0"/>
    <x v="22"/>
    <x v="39"/>
    <x v="1"/>
    <x v="1"/>
    <x v="1"/>
    <x v="28"/>
    <x v="6"/>
    <x v="6"/>
    <x v="0"/>
  </r>
  <r>
    <x v="321"/>
    <x v="25"/>
    <x v="22"/>
    <x v="318"/>
    <x v="3"/>
    <x v="1"/>
    <x v="0"/>
    <x v="91"/>
    <x v="22"/>
    <x v="6"/>
    <x v="3"/>
    <x v="1"/>
    <x v="0"/>
    <x v="19"/>
    <x v="19"/>
    <x v="0"/>
  </r>
  <r>
    <x v="322"/>
    <x v="95"/>
    <x v="1"/>
    <x v="319"/>
    <x v="3"/>
    <x v="0"/>
    <x v="0"/>
    <x v="73"/>
    <x v="1"/>
    <x v="1"/>
    <x v="1"/>
    <x v="0"/>
    <x v="2"/>
    <x v="4"/>
    <x v="4"/>
    <x v="0"/>
  </r>
  <r>
    <x v="323"/>
    <x v="179"/>
    <x v="32"/>
    <x v="320"/>
    <x v="6"/>
    <x v="2"/>
    <x v="0"/>
    <x v="52"/>
    <x v="32"/>
    <x v="4"/>
    <x v="2"/>
    <x v="2"/>
    <x v="29"/>
    <x v="23"/>
    <x v="23"/>
    <x v="0"/>
  </r>
  <r>
    <x v="324"/>
    <x v="68"/>
    <x v="39"/>
    <x v="321"/>
    <x v="3"/>
    <x v="1"/>
    <x v="0"/>
    <x v="25"/>
    <x v="39"/>
    <x v="1"/>
    <x v="1"/>
    <x v="1"/>
    <x v="17"/>
    <x v="19"/>
    <x v="19"/>
    <x v="0"/>
  </r>
  <r>
    <x v="325"/>
    <x v="210"/>
    <x v="39"/>
    <x v="322"/>
    <x v="5"/>
    <x v="1"/>
    <x v="0"/>
    <x v="17"/>
    <x v="39"/>
    <x v="1"/>
    <x v="1"/>
    <x v="1"/>
    <x v="15"/>
    <x v="6"/>
    <x v="6"/>
    <x v="0"/>
  </r>
  <r>
    <x v="326"/>
    <x v="211"/>
    <x v="36"/>
    <x v="323"/>
    <x v="5"/>
    <x v="1"/>
    <x v="0"/>
    <x v="43"/>
    <x v="36"/>
    <x v="2"/>
    <x v="2"/>
    <x v="1"/>
    <x v="18"/>
    <x v="6"/>
    <x v="6"/>
    <x v="0"/>
  </r>
  <r>
    <x v="327"/>
    <x v="91"/>
    <x v="19"/>
    <x v="324"/>
    <x v="1"/>
    <x v="1"/>
    <x v="0"/>
    <x v="8"/>
    <x v="19"/>
    <x v="2"/>
    <x v="1"/>
    <x v="1"/>
    <x v="27"/>
    <x v="1"/>
    <x v="1"/>
    <x v="0"/>
  </r>
  <r>
    <x v="328"/>
    <x v="212"/>
    <x v="28"/>
    <x v="325"/>
    <x v="5"/>
    <x v="0"/>
    <x v="0"/>
    <x v="21"/>
    <x v="28"/>
    <x v="3"/>
    <x v="1"/>
    <x v="0"/>
    <x v="18"/>
    <x v="6"/>
    <x v="6"/>
    <x v="0"/>
  </r>
  <r>
    <x v="329"/>
    <x v="136"/>
    <x v="15"/>
    <x v="326"/>
    <x v="3"/>
    <x v="3"/>
    <x v="0"/>
    <x v="22"/>
    <x v="15"/>
    <x v="6"/>
    <x v="3"/>
    <x v="3"/>
    <x v="8"/>
    <x v="4"/>
    <x v="4"/>
    <x v="0"/>
  </r>
  <r>
    <x v="330"/>
    <x v="179"/>
    <x v="2"/>
    <x v="327"/>
    <x v="6"/>
    <x v="1"/>
    <x v="0"/>
    <x v="46"/>
    <x v="2"/>
    <x v="1"/>
    <x v="1"/>
    <x v="1"/>
    <x v="15"/>
    <x v="23"/>
    <x v="23"/>
    <x v="0"/>
  </r>
  <r>
    <x v="331"/>
    <x v="23"/>
    <x v="12"/>
    <x v="328"/>
    <x v="7"/>
    <x v="1"/>
    <x v="0"/>
    <x v="98"/>
    <x v="12"/>
    <x v="5"/>
    <x v="2"/>
    <x v="1"/>
    <x v="23"/>
    <x v="46"/>
    <x v="46"/>
    <x v="0"/>
  </r>
  <r>
    <x v="332"/>
    <x v="213"/>
    <x v="4"/>
    <x v="329"/>
    <x v="1"/>
    <x v="2"/>
    <x v="0"/>
    <x v="96"/>
    <x v="4"/>
    <x v="3"/>
    <x v="3"/>
    <x v="2"/>
    <x v="0"/>
    <x v="1"/>
    <x v="1"/>
    <x v="0"/>
  </r>
  <r>
    <x v="333"/>
    <x v="79"/>
    <x v="28"/>
    <x v="330"/>
    <x v="3"/>
    <x v="1"/>
    <x v="0"/>
    <x v="75"/>
    <x v="28"/>
    <x v="3"/>
    <x v="1"/>
    <x v="1"/>
    <x v="29"/>
    <x v="27"/>
    <x v="27"/>
    <x v="0"/>
  </r>
  <r>
    <x v="334"/>
    <x v="175"/>
    <x v="27"/>
    <x v="331"/>
    <x v="6"/>
    <x v="3"/>
    <x v="0"/>
    <x v="78"/>
    <x v="27"/>
    <x v="3"/>
    <x v="0"/>
    <x v="3"/>
    <x v="25"/>
    <x v="23"/>
    <x v="23"/>
    <x v="0"/>
  </r>
  <r>
    <x v="335"/>
    <x v="208"/>
    <x v="15"/>
    <x v="332"/>
    <x v="6"/>
    <x v="3"/>
    <x v="0"/>
    <x v="34"/>
    <x v="15"/>
    <x v="6"/>
    <x v="3"/>
    <x v="3"/>
    <x v="0"/>
    <x v="23"/>
    <x v="23"/>
    <x v="0"/>
  </r>
  <r>
    <x v="336"/>
    <x v="214"/>
    <x v="24"/>
    <x v="333"/>
    <x v="5"/>
    <x v="1"/>
    <x v="0"/>
    <x v="66"/>
    <x v="24"/>
    <x v="2"/>
    <x v="0"/>
    <x v="1"/>
    <x v="5"/>
    <x v="28"/>
    <x v="28"/>
    <x v="0"/>
  </r>
  <r>
    <x v="337"/>
    <x v="215"/>
    <x v="1"/>
    <x v="334"/>
    <x v="0"/>
    <x v="1"/>
    <x v="2"/>
    <x v="34"/>
    <x v="1"/>
    <x v="1"/>
    <x v="1"/>
    <x v="1"/>
    <x v="20"/>
    <x v="47"/>
    <x v="47"/>
    <x v="0"/>
  </r>
  <r>
    <x v="338"/>
    <x v="12"/>
    <x v="34"/>
    <x v="335"/>
    <x v="0"/>
    <x v="1"/>
    <x v="0"/>
    <x v="14"/>
    <x v="34"/>
    <x v="3"/>
    <x v="0"/>
    <x v="1"/>
    <x v="17"/>
    <x v="0"/>
    <x v="0"/>
    <x v="0"/>
  </r>
  <r>
    <x v="339"/>
    <x v="68"/>
    <x v="22"/>
    <x v="336"/>
    <x v="2"/>
    <x v="1"/>
    <x v="0"/>
    <x v="58"/>
    <x v="22"/>
    <x v="6"/>
    <x v="3"/>
    <x v="1"/>
    <x v="19"/>
    <x v="9"/>
    <x v="9"/>
    <x v="0"/>
  </r>
  <r>
    <x v="340"/>
    <x v="129"/>
    <x v="23"/>
    <x v="337"/>
    <x v="3"/>
    <x v="2"/>
    <x v="0"/>
    <x v="14"/>
    <x v="23"/>
    <x v="6"/>
    <x v="3"/>
    <x v="2"/>
    <x v="21"/>
    <x v="4"/>
    <x v="4"/>
    <x v="0"/>
  </r>
  <r>
    <x v="341"/>
    <x v="88"/>
    <x v="26"/>
    <x v="338"/>
    <x v="0"/>
    <x v="1"/>
    <x v="1"/>
    <x v="24"/>
    <x v="26"/>
    <x v="1"/>
    <x v="1"/>
    <x v="1"/>
    <x v="5"/>
    <x v="0"/>
    <x v="0"/>
    <x v="0"/>
  </r>
  <r>
    <x v="342"/>
    <x v="208"/>
    <x v="14"/>
    <x v="339"/>
    <x v="2"/>
    <x v="1"/>
    <x v="0"/>
    <x v="22"/>
    <x v="14"/>
    <x v="2"/>
    <x v="2"/>
    <x v="1"/>
    <x v="14"/>
    <x v="10"/>
    <x v="10"/>
    <x v="0"/>
  </r>
  <r>
    <x v="343"/>
    <x v="216"/>
    <x v="17"/>
    <x v="340"/>
    <x v="1"/>
    <x v="0"/>
    <x v="0"/>
    <x v="73"/>
    <x v="17"/>
    <x v="6"/>
    <x v="3"/>
    <x v="0"/>
    <x v="12"/>
    <x v="1"/>
    <x v="1"/>
    <x v="0"/>
  </r>
  <r>
    <x v="344"/>
    <x v="216"/>
    <x v="33"/>
    <x v="341"/>
    <x v="1"/>
    <x v="1"/>
    <x v="0"/>
    <x v="85"/>
    <x v="33"/>
    <x v="6"/>
    <x v="0"/>
    <x v="1"/>
    <x v="2"/>
    <x v="1"/>
    <x v="1"/>
    <x v="0"/>
  </r>
  <r>
    <x v="345"/>
    <x v="89"/>
    <x v="33"/>
    <x v="342"/>
    <x v="3"/>
    <x v="0"/>
    <x v="0"/>
    <x v="84"/>
    <x v="33"/>
    <x v="6"/>
    <x v="0"/>
    <x v="0"/>
    <x v="17"/>
    <x v="19"/>
    <x v="19"/>
    <x v="0"/>
  </r>
  <r>
    <x v="346"/>
    <x v="194"/>
    <x v="0"/>
    <x v="343"/>
    <x v="3"/>
    <x v="1"/>
    <x v="0"/>
    <x v="56"/>
    <x v="0"/>
    <x v="0"/>
    <x v="0"/>
    <x v="1"/>
    <x v="29"/>
    <x v="4"/>
    <x v="4"/>
    <x v="0"/>
  </r>
  <r>
    <x v="347"/>
    <x v="217"/>
    <x v="13"/>
    <x v="344"/>
    <x v="3"/>
    <x v="0"/>
    <x v="0"/>
    <x v="78"/>
    <x v="13"/>
    <x v="3"/>
    <x v="1"/>
    <x v="0"/>
    <x v="23"/>
    <x v="4"/>
    <x v="4"/>
    <x v="0"/>
  </r>
  <r>
    <x v="348"/>
    <x v="85"/>
    <x v="13"/>
    <x v="345"/>
    <x v="5"/>
    <x v="1"/>
    <x v="0"/>
    <x v="35"/>
    <x v="13"/>
    <x v="3"/>
    <x v="1"/>
    <x v="1"/>
    <x v="26"/>
    <x v="22"/>
    <x v="22"/>
    <x v="0"/>
  </r>
  <r>
    <x v="349"/>
    <x v="218"/>
    <x v="28"/>
    <x v="346"/>
    <x v="2"/>
    <x v="1"/>
    <x v="0"/>
    <x v="90"/>
    <x v="28"/>
    <x v="3"/>
    <x v="1"/>
    <x v="1"/>
    <x v="9"/>
    <x v="9"/>
    <x v="9"/>
    <x v="0"/>
  </r>
  <r>
    <x v="350"/>
    <x v="219"/>
    <x v="22"/>
    <x v="347"/>
    <x v="5"/>
    <x v="2"/>
    <x v="0"/>
    <x v="26"/>
    <x v="22"/>
    <x v="6"/>
    <x v="3"/>
    <x v="2"/>
    <x v="28"/>
    <x v="6"/>
    <x v="6"/>
    <x v="0"/>
  </r>
  <r>
    <x v="351"/>
    <x v="133"/>
    <x v="25"/>
    <x v="348"/>
    <x v="8"/>
    <x v="1"/>
    <x v="0"/>
    <x v="19"/>
    <x v="25"/>
    <x v="5"/>
    <x v="3"/>
    <x v="1"/>
    <x v="23"/>
    <x v="20"/>
    <x v="20"/>
    <x v="0"/>
  </r>
  <r>
    <x v="352"/>
    <x v="61"/>
    <x v="25"/>
    <x v="343"/>
    <x v="7"/>
    <x v="1"/>
    <x v="0"/>
    <x v="31"/>
    <x v="25"/>
    <x v="5"/>
    <x v="3"/>
    <x v="1"/>
    <x v="29"/>
    <x v="45"/>
    <x v="45"/>
    <x v="0"/>
  </r>
  <r>
    <x v="353"/>
    <x v="177"/>
    <x v="30"/>
    <x v="349"/>
    <x v="2"/>
    <x v="2"/>
    <x v="0"/>
    <x v="58"/>
    <x v="30"/>
    <x v="6"/>
    <x v="1"/>
    <x v="2"/>
    <x v="6"/>
    <x v="9"/>
    <x v="9"/>
    <x v="0"/>
  </r>
  <r>
    <x v="354"/>
    <x v="124"/>
    <x v="25"/>
    <x v="350"/>
    <x v="7"/>
    <x v="1"/>
    <x v="0"/>
    <x v="13"/>
    <x v="25"/>
    <x v="5"/>
    <x v="3"/>
    <x v="1"/>
    <x v="1"/>
    <x v="18"/>
    <x v="18"/>
    <x v="0"/>
  </r>
  <r>
    <x v="355"/>
    <x v="43"/>
    <x v="11"/>
    <x v="351"/>
    <x v="3"/>
    <x v="1"/>
    <x v="0"/>
    <x v="7"/>
    <x v="11"/>
    <x v="0"/>
    <x v="3"/>
    <x v="1"/>
    <x v="21"/>
    <x v="4"/>
    <x v="4"/>
    <x v="0"/>
  </r>
  <r>
    <x v="356"/>
    <x v="220"/>
    <x v="39"/>
    <x v="352"/>
    <x v="3"/>
    <x v="1"/>
    <x v="0"/>
    <x v="91"/>
    <x v="39"/>
    <x v="1"/>
    <x v="1"/>
    <x v="1"/>
    <x v="18"/>
    <x v="45"/>
    <x v="45"/>
    <x v="0"/>
  </r>
  <r>
    <x v="357"/>
    <x v="221"/>
    <x v="34"/>
    <x v="353"/>
    <x v="1"/>
    <x v="1"/>
    <x v="0"/>
    <x v="81"/>
    <x v="34"/>
    <x v="3"/>
    <x v="0"/>
    <x v="1"/>
    <x v="7"/>
    <x v="17"/>
    <x v="17"/>
    <x v="0"/>
  </r>
  <r>
    <x v="358"/>
    <x v="222"/>
    <x v="12"/>
    <x v="354"/>
    <x v="7"/>
    <x v="1"/>
    <x v="2"/>
    <x v="14"/>
    <x v="12"/>
    <x v="5"/>
    <x v="2"/>
    <x v="1"/>
    <x v="0"/>
    <x v="18"/>
    <x v="18"/>
    <x v="0"/>
  </r>
  <r>
    <x v="359"/>
    <x v="16"/>
    <x v="35"/>
    <x v="355"/>
    <x v="3"/>
    <x v="2"/>
    <x v="0"/>
    <x v="50"/>
    <x v="35"/>
    <x v="3"/>
    <x v="3"/>
    <x v="2"/>
    <x v="4"/>
    <x v="4"/>
    <x v="4"/>
    <x v="0"/>
  </r>
  <r>
    <x v="360"/>
    <x v="223"/>
    <x v="21"/>
    <x v="356"/>
    <x v="1"/>
    <x v="1"/>
    <x v="0"/>
    <x v="61"/>
    <x v="21"/>
    <x v="5"/>
    <x v="2"/>
    <x v="1"/>
    <x v="18"/>
    <x v="1"/>
    <x v="1"/>
    <x v="0"/>
  </r>
  <r>
    <x v="361"/>
    <x v="15"/>
    <x v="30"/>
    <x v="357"/>
    <x v="0"/>
    <x v="1"/>
    <x v="0"/>
    <x v="33"/>
    <x v="30"/>
    <x v="6"/>
    <x v="1"/>
    <x v="1"/>
    <x v="24"/>
    <x v="0"/>
    <x v="0"/>
    <x v="0"/>
  </r>
  <r>
    <x v="362"/>
    <x v="99"/>
    <x v="27"/>
    <x v="358"/>
    <x v="1"/>
    <x v="2"/>
    <x v="0"/>
    <x v="28"/>
    <x v="27"/>
    <x v="3"/>
    <x v="0"/>
    <x v="2"/>
    <x v="23"/>
    <x v="1"/>
    <x v="1"/>
    <x v="0"/>
  </r>
  <r>
    <x v="363"/>
    <x v="162"/>
    <x v="21"/>
    <x v="359"/>
    <x v="0"/>
    <x v="0"/>
    <x v="0"/>
    <x v="57"/>
    <x v="21"/>
    <x v="5"/>
    <x v="2"/>
    <x v="0"/>
    <x v="24"/>
    <x v="0"/>
    <x v="0"/>
    <x v="0"/>
  </r>
  <r>
    <x v="364"/>
    <x v="77"/>
    <x v="2"/>
    <x v="360"/>
    <x v="5"/>
    <x v="1"/>
    <x v="0"/>
    <x v="89"/>
    <x v="2"/>
    <x v="1"/>
    <x v="1"/>
    <x v="1"/>
    <x v="2"/>
    <x v="2"/>
    <x v="2"/>
    <x v="0"/>
  </r>
  <r>
    <x v="365"/>
    <x v="224"/>
    <x v="34"/>
    <x v="361"/>
    <x v="3"/>
    <x v="1"/>
    <x v="0"/>
    <x v="47"/>
    <x v="34"/>
    <x v="3"/>
    <x v="0"/>
    <x v="1"/>
    <x v="8"/>
    <x v="27"/>
    <x v="27"/>
    <x v="0"/>
  </r>
  <r>
    <x v="366"/>
    <x v="186"/>
    <x v="6"/>
    <x v="362"/>
    <x v="7"/>
    <x v="1"/>
    <x v="0"/>
    <x v="84"/>
    <x v="6"/>
    <x v="2"/>
    <x v="3"/>
    <x v="1"/>
    <x v="5"/>
    <x v="18"/>
    <x v="18"/>
    <x v="0"/>
  </r>
  <r>
    <x v="367"/>
    <x v="163"/>
    <x v="1"/>
    <x v="363"/>
    <x v="2"/>
    <x v="2"/>
    <x v="1"/>
    <x v="80"/>
    <x v="1"/>
    <x v="1"/>
    <x v="1"/>
    <x v="2"/>
    <x v="17"/>
    <x v="9"/>
    <x v="9"/>
    <x v="0"/>
  </r>
  <r>
    <x v="368"/>
    <x v="225"/>
    <x v="20"/>
    <x v="364"/>
    <x v="1"/>
    <x v="1"/>
    <x v="2"/>
    <x v="99"/>
    <x v="20"/>
    <x v="0"/>
    <x v="3"/>
    <x v="1"/>
    <x v="25"/>
    <x v="1"/>
    <x v="1"/>
    <x v="0"/>
  </r>
  <r>
    <x v="369"/>
    <x v="174"/>
    <x v="36"/>
    <x v="365"/>
    <x v="6"/>
    <x v="1"/>
    <x v="0"/>
    <x v="71"/>
    <x v="36"/>
    <x v="2"/>
    <x v="2"/>
    <x v="1"/>
    <x v="2"/>
    <x v="7"/>
    <x v="7"/>
    <x v="0"/>
  </r>
  <r>
    <x v="370"/>
    <x v="78"/>
    <x v="36"/>
    <x v="366"/>
    <x v="3"/>
    <x v="1"/>
    <x v="0"/>
    <x v="92"/>
    <x v="36"/>
    <x v="2"/>
    <x v="2"/>
    <x v="1"/>
    <x v="15"/>
    <x v="19"/>
    <x v="19"/>
    <x v="0"/>
  </r>
  <r>
    <x v="371"/>
    <x v="226"/>
    <x v="3"/>
    <x v="367"/>
    <x v="5"/>
    <x v="0"/>
    <x v="0"/>
    <x v="76"/>
    <x v="3"/>
    <x v="2"/>
    <x v="2"/>
    <x v="0"/>
    <x v="7"/>
    <x v="6"/>
    <x v="6"/>
    <x v="0"/>
  </r>
  <r>
    <x v="372"/>
    <x v="227"/>
    <x v="28"/>
    <x v="368"/>
    <x v="2"/>
    <x v="1"/>
    <x v="0"/>
    <x v="22"/>
    <x v="28"/>
    <x v="3"/>
    <x v="1"/>
    <x v="1"/>
    <x v="28"/>
    <x v="9"/>
    <x v="9"/>
    <x v="0"/>
  </r>
  <r>
    <x v="373"/>
    <x v="228"/>
    <x v="25"/>
    <x v="369"/>
    <x v="2"/>
    <x v="2"/>
    <x v="0"/>
    <x v="61"/>
    <x v="25"/>
    <x v="5"/>
    <x v="3"/>
    <x v="2"/>
    <x v="24"/>
    <x v="9"/>
    <x v="9"/>
    <x v="0"/>
  </r>
  <r>
    <x v="374"/>
    <x v="90"/>
    <x v="16"/>
    <x v="370"/>
    <x v="4"/>
    <x v="0"/>
    <x v="0"/>
    <x v="80"/>
    <x v="16"/>
    <x v="3"/>
    <x v="3"/>
    <x v="0"/>
    <x v="5"/>
    <x v="5"/>
    <x v="5"/>
    <x v="0"/>
  </r>
  <r>
    <x v="375"/>
    <x v="77"/>
    <x v="5"/>
    <x v="371"/>
    <x v="1"/>
    <x v="1"/>
    <x v="0"/>
    <x v="82"/>
    <x v="5"/>
    <x v="2"/>
    <x v="1"/>
    <x v="1"/>
    <x v="20"/>
    <x v="41"/>
    <x v="41"/>
    <x v="0"/>
  </r>
  <r>
    <x v="376"/>
    <x v="90"/>
    <x v="30"/>
    <x v="372"/>
    <x v="3"/>
    <x v="0"/>
    <x v="0"/>
    <x v="73"/>
    <x v="30"/>
    <x v="6"/>
    <x v="1"/>
    <x v="0"/>
    <x v="3"/>
    <x v="4"/>
    <x v="4"/>
    <x v="0"/>
  </r>
  <r>
    <x v="377"/>
    <x v="126"/>
    <x v="5"/>
    <x v="373"/>
    <x v="1"/>
    <x v="1"/>
    <x v="0"/>
    <x v="30"/>
    <x v="5"/>
    <x v="2"/>
    <x v="1"/>
    <x v="1"/>
    <x v="13"/>
    <x v="1"/>
    <x v="1"/>
    <x v="0"/>
  </r>
  <r>
    <x v="378"/>
    <x v="167"/>
    <x v="13"/>
    <x v="374"/>
    <x v="1"/>
    <x v="3"/>
    <x v="0"/>
    <x v="91"/>
    <x v="13"/>
    <x v="3"/>
    <x v="1"/>
    <x v="3"/>
    <x v="16"/>
    <x v="1"/>
    <x v="1"/>
    <x v="0"/>
  </r>
  <r>
    <x v="379"/>
    <x v="98"/>
    <x v="28"/>
    <x v="375"/>
    <x v="5"/>
    <x v="0"/>
    <x v="0"/>
    <x v="54"/>
    <x v="28"/>
    <x v="3"/>
    <x v="1"/>
    <x v="0"/>
    <x v="29"/>
    <x v="27"/>
    <x v="27"/>
    <x v="0"/>
  </r>
  <r>
    <x v="380"/>
    <x v="14"/>
    <x v="7"/>
    <x v="376"/>
    <x v="7"/>
    <x v="0"/>
    <x v="0"/>
    <x v="82"/>
    <x v="7"/>
    <x v="3"/>
    <x v="0"/>
    <x v="0"/>
    <x v="24"/>
    <x v="31"/>
    <x v="31"/>
    <x v="0"/>
  </r>
  <r>
    <x v="381"/>
    <x v="128"/>
    <x v="12"/>
    <x v="377"/>
    <x v="3"/>
    <x v="3"/>
    <x v="0"/>
    <x v="99"/>
    <x v="12"/>
    <x v="5"/>
    <x v="2"/>
    <x v="3"/>
    <x v="20"/>
    <x v="29"/>
    <x v="29"/>
    <x v="0"/>
  </r>
  <r>
    <x v="382"/>
    <x v="217"/>
    <x v="36"/>
    <x v="378"/>
    <x v="6"/>
    <x v="3"/>
    <x v="0"/>
    <x v="60"/>
    <x v="36"/>
    <x v="2"/>
    <x v="2"/>
    <x v="3"/>
    <x v="23"/>
    <x v="23"/>
    <x v="23"/>
    <x v="0"/>
  </r>
  <r>
    <x v="383"/>
    <x v="108"/>
    <x v="1"/>
    <x v="379"/>
    <x v="6"/>
    <x v="3"/>
    <x v="0"/>
    <x v="9"/>
    <x v="1"/>
    <x v="1"/>
    <x v="1"/>
    <x v="3"/>
    <x v="8"/>
    <x v="23"/>
    <x v="23"/>
    <x v="0"/>
  </r>
  <r>
    <x v="384"/>
    <x v="227"/>
    <x v="39"/>
    <x v="380"/>
    <x v="6"/>
    <x v="0"/>
    <x v="0"/>
    <x v="72"/>
    <x v="39"/>
    <x v="1"/>
    <x v="1"/>
    <x v="0"/>
    <x v="20"/>
    <x v="3"/>
    <x v="3"/>
    <x v="0"/>
  </r>
  <r>
    <x v="385"/>
    <x v="229"/>
    <x v="20"/>
    <x v="381"/>
    <x v="1"/>
    <x v="3"/>
    <x v="0"/>
    <x v="34"/>
    <x v="20"/>
    <x v="0"/>
    <x v="3"/>
    <x v="3"/>
    <x v="15"/>
    <x v="1"/>
    <x v="1"/>
    <x v="0"/>
  </r>
  <r>
    <x v="386"/>
    <x v="90"/>
    <x v="17"/>
    <x v="382"/>
    <x v="1"/>
    <x v="3"/>
    <x v="0"/>
    <x v="19"/>
    <x v="17"/>
    <x v="6"/>
    <x v="3"/>
    <x v="3"/>
    <x v="8"/>
    <x v="1"/>
    <x v="1"/>
    <x v="0"/>
  </r>
  <r>
    <x v="387"/>
    <x v="230"/>
    <x v="21"/>
    <x v="383"/>
    <x v="3"/>
    <x v="0"/>
    <x v="0"/>
    <x v="57"/>
    <x v="21"/>
    <x v="5"/>
    <x v="2"/>
    <x v="0"/>
    <x v="8"/>
    <x v="4"/>
    <x v="4"/>
    <x v="0"/>
  </r>
  <r>
    <x v="388"/>
    <x v="220"/>
    <x v="9"/>
    <x v="384"/>
    <x v="4"/>
    <x v="3"/>
    <x v="0"/>
    <x v="33"/>
    <x v="9"/>
    <x v="1"/>
    <x v="3"/>
    <x v="3"/>
    <x v="15"/>
    <x v="5"/>
    <x v="5"/>
    <x v="0"/>
  </r>
  <r>
    <x v="389"/>
    <x v="231"/>
    <x v="22"/>
    <x v="385"/>
    <x v="1"/>
    <x v="1"/>
    <x v="0"/>
    <x v="3"/>
    <x v="22"/>
    <x v="6"/>
    <x v="3"/>
    <x v="1"/>
    <x v="0"/>
    <x v="19"/>
    <x v="19"/>
    <x v="0"/>
  </r>
  <r>
    <x v="390"/>
    <x v="208"/>
    <x v="4"/>
    <x v="386"/>
    <x v="8"/>
    <x v="0"/>
    <x v="0"/>
    <x v="51"/>
    <x v="4"/>
    <x v="3"/>
    <x v="3"/>
    <x v="0"/>
    <x v="24"/>
    <x v="20"/>
    <x v="20"/>
    <x v="0"/>
  </r>
  <r>
    <x v="391"/>
    <x v="232"/>
    <x v="3"/>
    <x v="387"/>
    <x v="6"/>
    <x v="1"/>
    <x v="0"/>
    <x v="19"/>
    <x v="3"/>
    <x v="2"/>
    <x v="2"/>
    <x v="1"/>
    <x v="27"/>
    <x v="23"/>
    <x v="23"/>
    <x v="0"/>
  </r>
  <r>
    <x v="392"/>
    <x v="169"/>
    <x v="33"/>
    <x v="388"/>
    <x v="1"/>
    <x v="3"/>
    <x v="0"/>
    <x v="27"/>
    <x v="33"/>
    <x v="6"/>
    <x v="0"/>
    <x v="3"/>
    <x v="17"/>
    <x v="19"/>
    <x v="19"/>
    <x v="0"/>
  </r>
  <r>
    <x v="393"/>
    <x v="153"/>
    <x v="6"/>
    <x v="389"/>
    <x v="0"/>
    <x v="1"/>
    <x v="0"/>
    <x v="11"/>
    <x v="6"/>
    <x v="2"/>
    <x v="3"/>
    <x v="1"/>
    <x v="19"/>
    <x v="0"/>
    <x v="0"/>
    <x v="0"/>
  </r>
  <r>
    <x v="394"/>
    <x v="194"/>
    <x v="28"/>
    <x v="390"/>
    <x v="0"/>
    <x v="1"/>
    <x v="0"/>
    <x v="91"/>
    <x v="28"/>
    <x v="3"/>
    <x v="1"/>
    <x v="1"/>
    <x v="7"/>
    <x v="21"/>
    <x v="21"/>
    <x v="1"/>
  </r>
  <r>
    <x v="395"/>
    <x v="233"/>
    <x v="13"/>
    <x v="391"/>
    <x v="6"/>
    <x v="1"/>
    <x v="1"/>
    <x v="44"/>
    <x v="13"/>
    <x v="3"/>
    <x v="1"/>
    <x v="1"/>
    <x v="4"/>
    <x v="23"/>
    <x v="23"/>
    <x v="0"/>
  </r>
  <r>
    <x v="396"/>
    <x v="177"/>
    <x v="22"/>
    <x v="392"/>
    <x v="6"/>
    <x v="1"/>
    <x v="0"/>
    <x v="88"/>
    <x v="22"/>
    <x v="6"/>
    <x v="3"/>
    <x v="1"/>
    <x v="13"/>
    <x v="23"/>
    <x v="23"/>
    <x v="0"/>
  </r>
  <r>
    <x v="397"/>
    <x v="234"/>
    <x v="23"/>
    <x v="393"/>
    <x v="7"/>
    <x v="0"/>
    <x v="0"/>
    <x v="94"/>
    <x v="23"/>
    <x v="6"/>
    <x v="3"/>
    <x v="0"/>
    <x v="18"/>
    <x v="18"/>
    <x v="18"/>
    <x v="0"/>
  </r>
  <r>
    <x v="398"/>
    <x v="235"/>
    <x v="37"/>
    <x v="394"/>
    <x v="2"/>
    <x v="2"/>
    <x v="0"/>
    <x v="29"/>
    <x v="37"/>
    <x v="1"/>
    <x v="2"/>
    <x v="2"/>
    <x v="14"/>
    <x v="9"/>
    <x v="9"/>
    <x v="0"/>
  </r>
  <r>
    <x v="399"/>
    <x v="88"/>
    <x v="3"/>
    <x v="395"/>
    <x v="4"/>
    <x v="1"/>
    <x v="1"/>
    <x v="61"/>
    <x v="3"/>
    <x v="2"/>
    <x v="2"/>
    <x v="1"/>
    <x v="11"/>
    <x v="48"/>
    <x v="48"/>
    <x v="1"/>
  </r>
  <r>
    <x v="400"/>
    <x v="236"/>
    <x v="28"/>
    <x v="396"/>
    <x v="1"/>
    <x v="1"/>
    <x v="0"/>
    <x v="75"/>
    <x v="28"/>
    <x v="3"/>
    <x v="1"/>
    <x v="1"/>
    <x v="23"/>
    <x v="1"/>
    <x v="1"/>
    <x v="0"/>
  </r>
  <r>
    <x v="401"/>
    <x v="139"/>
    <x v="30"/>
    <x v="397"/>
    <x v="5"/>
    <x v="3"/>
    <x v="0"/>
    <x v="18"/>
    <x v="30"/>
    <x v="6"/>
    <x v="1"/>
    <x v="3"/>
    <x v="28"/>
    <x v="27"/>
    <x v="27"/>
    <x v="0"/>
  </r>
  <r>
    <x v="402"/>
    <x v="138"/>
    <x v="15"/>
    <x v="398"/>
    <x v="7"/>
    <x v="1"/>
    <x v="0"/>
    <x v="80"/>
    <x v="15"/>
    <x v="6"/>
    <x v="3"/>
    <x v="1"/>
    <x v="27"/>
    <x v="18"/>
    <x v="18"/>
    <x v="0"/>
  </r>
  <r>
    <x v="403"/>
    <x v="119"/>
    <x v="31"/>
    <x v="399"/>
    <x v="7"/>
    <x v="1"/>
    <x v="2"/>
    <x v="22"/>
    <x v="31"/>
    <x v="3"/>
    <x v="1"/>
    <x v="1"/>
    <x v="1"/>
    <x v="18"/>
    <x v="18"/>
    <x v="0"/>
  </r>
  <r>
    <x v="404"/>
    <x v="78"/>
    <x v="34"/>
    <x v="400"/>
    <x v="4"/>
    <x v="0"/>
    <x v="0"/>
    <x v="70"/>
    <x v="34"/>
    <x v="3"/>
    <x v="0"/>
    <x v="0"/>
    <x v="5"/>
    <x v="5"/>
    <x v="5"/>
    <x v="0"/>
  </r>
  <r>
    <x v="405"/>
    <x v="27"/>
    <x v="25"/>
    <x v="401"/>
    <x v="1"/>
    <x v="0"/>
    <x v="0"/>
    <x v="5"/>
    <x v="25"/>
    <x v="5"/>
    <x v="3"/>
    <x v="0"/>
    <x v="2"/>
    <x v="40"/>
    <x v="40"/>
    <x v="0"/>
  </r>
  <r>
    <x v="406"/>
    <x v="18"/>
    <x v="16"/>
    <x v="402"/>
    <x v="3"/>
    <x v="2"/>
    <x v="0"/>
    <x v="87"/>
    <x v="16"/>
    <x v="3"/>
    <x v="3"/>
    <x v="2"/>
    <x v="21"/>
    <x v="12"/>
    <x v="12"/>
    <x v="0"/>
  </r>
  <r>
    <x v="407"/>
    <x v="11"/>
    <x v="18"/>
    <x v="403"/>
    <x v="7"/>
    <x v="2"/>
    <x v="0"/>
    <x v="89"/>
    <x v="18"/>
    <x v="6"/>
    <x v="2"/>
    <x v="2"/>
    <x v="5"/>
    <x v="18"/>
    <x v="18"/>
    <x v="0"/>
  </r>
  <r>
    <x v="408"/>
    <x v="133"/>
    <x v="32"/>
    <x v="404"/>
    <x v="6"/>
    <x v="1"/>
    <x v="0"/>
    <x v="44"/>
    <x v="32"/>
    <x v="4"/>
    <x v="2"/>
    <x v="1"/>
    <x v="17"/>
    <x v="7"/>
    <x v="7"/>
    <x v="0"/>
  </r>
  <r>
    <x v="409"/>
    <x v="237"/>
    <x v="11"/>
    <x v="405"/>
    <x v="8"/>
    <x v="1"/>
    <x v="0"/>
    <x v="21"/>
    <x v="11"/>
    <x v="0"/>
    <x v="3"/>
    <x v="1"/>
    <x v="1"/>
    <x v="20"/>
    <x v="20"/>
    <x v="0"/>
  </r>
  <r>
    <x v="410"/>
    <x v="123"/>
    <x v="17"/>
    <x v="406"/>
    <x v="3"/>
    <x v="1"/>
    <x v="0"/>
    <x v="95"/>
    <x v="17"/>
    <x v="6"/>
    <x v="3"/>
    <x v="1"/>
    <x v="23"/>
    <x v="4"/>
    <x v="4"/>
    <x v="0"/>
  </r>
  <r>
    <x v="411"/>
    <x v="238"/>
    <x v="35"/>
    <x v="407"/>
    <x v="6"/>
    <x v="1"/>
    <x v="0"/>
    <x v="36"/>
    <x v="35"/>
    <x v="3"/>
    <x v="3"/>
    <x v="1"/>
    <x v="17"/>
    <x v="23"/>
    <x v="23"/>
    <x v="0"/>
  </r>
  <r>
    <x v="412"/>
    <x v="239"/>
    <x v="24"/>
    <x v="408"/>
    <x v="7"/>
    <x v="2"/>
    <x v="0"/>
    <x v="58"/>
    <x v="24"/>
    <x v="2"/>
    <x v="0"/>
    <x v="2"/>
    <x v="29"/>
    <x v="18"/>
    <x v="18"/>
    <x v="0"/>
  </r>
  <r>
    <x v="413"/>
    <x v="213"/>
    <x v="29"/>
    <x v="409"/>
    <x v="2"/>
    <x v="3"/>
    <x v="0"/>
    <x v="82"/>
    <x v="29"/>
    <x v="1"/>
    <x v="3"/>
    <x v="3"/>
    <x v="18"/>
    <x v="9"/>
    <x v="9"/>
    <x v="0"/>
  </r>
  <r>
    <x v="414"/>
    <x v="89"/>
    <x v="27"/>
    <x v="410"/>
    <x v="2"/>
    <x v="3"/>
    <x v="0"/>
    <x v="38"/>
    <x v="27"/>
    <x v="3"/>
    <x v="0"/>
    <x v="3"/>
    <x v="17"/>
    <x v="9"/>
    <x v="9"/>
    <x v="0"/>
  </r>
  <r>
    <x v="415"/>
    <x v="240"/>
    <x v="35"/>
    <x v="411"/>
    <x v="1"/>
    <x v="1"/>
    <x v="0"/>
    <x v="66"/>
    <x v="35"/>
    <x v="3"/>
    <x v="3"/>
    <x v="1"/>
    <x v="10"/>
    <x v="22"/>
    <x v="22"/>
    <x v="0"/>
  </r>
  <r>
    <x v="416"/>
    <x v="188"/>
    <x v="8"/>
    <x v="412"/>
    <x v="5"/>
    <x v="3"/>
    <x v="1"/>
    <x v="83"/>
    <x v="8"/>
    <x v="4"/>
    <x v="3"/>
    <x v="3"/>
    <x v="22"/>
    <x v="49"/>
    <x v="49"/>
    <x v="0"/>
  </r>
  <r>
    <x v="417"/>
    <x v="183"/>
    <x v="4"/>
    <x v="413"/>
    <x v="1"/>
    <x v="1"/>
    <x v="0"/>
    <x v="19"/>
    <x v="4"/>
    <x v="3"/>
    <x v="3"/>
    <x v="1"/>
    <x v="3"/>
    <x v="1"/>
    <x v="1"/>
    <x v="0"/>
  </r>
  <r>
    <x v="418"/>
    <x v="103"/>
    <x v="1"/>
    <x v="414"/>
    <x v="7"/>
    <x v="1"/>
    <x v="0"/>
    <x v="53"/>
    <x v="1"/>
    <x v="1"/>
    <x v="1"/>
    <x v="1"/>
    <x v="12"/>
    <x v="18"/>
    <x v="18"/>
    <x v="0"/>
  </r>
  <r>
    <x v="419"/>
    <x v="241"/>
    <x v="14"/>
    <x v="415"/>
    <x v="1"/>
    <x v="0"/>
    <x v="0"/>
    <x v="41"/>
    <x v="14"/>
    <x v="2"/>
    <x v="2"/>
    <x v="0"/>
    <x v="0"/>
    <x v="50"/>
    <x v="50"/>
    <x v="0"/>
  </r>
  <r>
    <x v="420"/>
    <x v="37"/>
    <x v="39"/>
    <x v="416"/>
    <x v="4"/>
    <x v="1"/>
    <x v="0"/>
    <x v="75"/>
    <x v="39"/>
    <x v="1"/>
    <x v="1"/>
    <x v="1"/>
    <x v="13"/>
    <x v="35"/>
    <x v="35"/>
    <x v="0"/>
  </r>
  <r>
    <x v="421"/>
    <x v="3"/>
    <x v="8"/>
    <x v="417"/>
    <x v="1"/>
    <x v="1"/>
    <x v="0"/>
    <x v="38"/>
    <x v="8"/>
    <x v="4"/>
    <x v="3"/>
    <x v="1"/>
    <x v="19"/>
    <x v="1"/>
    <x v="1"/>
    <x v="0"/>
  </r>
  <r>
    <x v="422"/>
    <x v="242"/>
    <x v="37"/>
    <x v="418"/>
    <x v="7"/>
    <x v="0"/>
    <x v="0"/>
    <x v="42"/>
    <x v="37"/>
    <x v="1"/>
    <x v="2"/>
    <x v="0"/>
    <x v="18"/>
    <x v="18"/>
    <x v="18"/>
    <x v="0"/>
  </r>
  <r>
    <x v="423"/>
    <x v="243"/>
    <x v="8"/>
    <x v="419"/>
    <x v="6"/>
    <x v="3"/>
    <x v="0"/>
    <x v="88"/>
    <x v="8"/>
    <x v="4"/>
    <x v="3"/>
    <x v="3"/>
    <x v="9"/>
    <x v="44"/>
    <x v="44"/>
    <x v="0"/>
  </r>
  <r>
    <x v="424"/>
    <x v="244"/>
    <x v="0"/>
    <x v="420"/>
    <x v="1"/>
    <x v="1"/>
    <x v="0"/>
    <x v="70"/>
    <x v="0"/>
    <x v="0"/>
    <x v="0"/>
    <x v="1"/>
    <x v="15"/>
    <x v="1"/>
    <x v="1"/>
    <x v="0"/>
  </r>
  <r>
    <x v="425"/>
    <x v="107"/>
    <x v="30"/>
    <x v="421"/>
    <x v="3"/>
    <x v="2"/>
    <x v="0"/>
    <x v="65"/>
    <x v="30"/>
    <x v="6"/>
    <x v="1"/>
    <x v="2"/>
    <x v="28"/>
    <x v="27"/>
    <x v="27"/>
    <x v="0"/>
  </r>
  <r>
    <x v="426"/>
    <x v="245"/>
    <x v="27"/>
    <x v="422"/>
    <x v="5"/>
    <x v="0"/>
    <x v="0"/>
    <x v="63"/>
    <x v="27"/>
    <x v="3"/>
    <x v="0"/>
    <x v="0"/>
    <x v="16"/>
    <x v="6"/>
    <x v="6"/>
    <x v="0"/>
  </r>
  <r>
    <x v="427"/>
    <x v="166"/>
    <x v="4"/>
    <x v="423"/>
    <x v="5"/>
    <x v="1"/>
    <x v="0"/>
    <x v="52"/>
    <x v="4"/>
    <x v="3"/>
    <x v="3"/>
    <x v="1"/>
    <x v="25"/>
    <x v="44"/>
    <x v="44"/>
    <x v="0"/>
  </r>
  <r>
    <x v="428"/>
    <x v="246"/>
    <x v="0"/>
    <x v="424"/>
    <x v="5"/>
    <x v="1"/>
    <x v="0"/>
    <x v="99"/>
    <x v="0"/>
    <x v="0"/>
    <x v="0"/>
    <x v="1"/>
    <x v="26"/>
    <x v="34"/>
    <x v="34"/>
    <x v="0"/>
  </r>
  <r>
    <x v="429"/>
    <x v="247"/>
    <x v="8"/>
    <x v="425"/>
    <x v="1"/>
    <x v="1"/>
    <x v="0"/>
    <x v="56"/>
    <x v="8"/>
    <x v="4"/>
    <x v="3"/>
    <x v="1"/>
    <x v="22"/>
    <x v="49"/>
    <x v="49"/>
    <x v="0"/>
  </r>
  <r>
    <x v="430"/>
    <x v="138"/>
    <x v="13"/>
    <x v="426"/>
    <x v="1"/>
    <x v="0"/>
    <x v="0"/>
    <x v="57"/>
    <x v="13"/>
    <x v="3"/>
    <x v="1"/>
    <x v="0"/>
    <x v="21"/>
    <x v="1"/>
    <x v="1"/>
    <x v="0"/>
  </r>
  <r>
    <x v="431"/>
    <x v="207"/>
    <x v="21"/>
    <x v="427"/>
    <x v="4"/>
    <x v="1"/>
    <x v="0"/>
    <x v="28"/>
    <x v="21"/>
    <x v="5"/>
    <x v="2"/>
    <x v="1"/>
    <x v="6"/>
    <x v="5"/>
    <x v="5"/>
    <x v="0"/>
  </r>
  <r>
    <x v="432"/>
    <x v="248"/>
    <x v="0"/>
    <x v="428"/>
    <x v="1"/>
    <x v="0"/>
    <x v="0"/>
    <x v="61"/>
    <x v="0"/>
    <x v="0"/>
    <x v="0"/>
    <x v="0"/>
    <x v="21"/>
    <x v="17"/>
    <x v="17"/>
    <x v="0"/>
  </r>
  <r>
    <x v="433"/>
    <x v="249"/>
    <x v="19"/>
    <x v="429"/>
    <x v="1"/>
    <x v="2"/>
    <x v="0"/>
    <x v="64"/>
    <x v="19"/>
    <x v="2"/>
    <x v="1"/>
    <x v="2"/>
    <x v="0"/>
    <x v="17"/>
    <x v="17"/>
    <x v="0"/>
  </r>
  <r>
    <x v="434"/>
    <x v="250"/>
    <x v="35"/>
    <x v="430"/>
    <x v="5"/>
    <x v="0"/>
    <x v="0"/>
    <x v="99"/>
    <x v="35"/>
    <x v="3"/>
    <x v="3"/>
    <x v="0"/>
    <x v="27"/>
    <x v="27"/>
    <x v="27"/>
    <x v="0"/>
  </r>
  <r>
    <x v="435"/>
    <x v="9"/>
    <x v="10"/>
    <x v="431"/>
    <x v="6"/>
    <x v="3"/>
    <x v="0"/>
    <x v="82"/>
    <x v="10"/>
    <x v="1"/>
    <x v="2"/>
    <x v="3"/>
    <x v="3"/>
    <x v="23"/>
    <x v="23"/>
    <x v="0"/>
  </r>
  <r>
    <x v="436"/>
    <x v="193"/>
    <x v="14"/>
    <x v="432"/>
    <x v="4"/>
    <x v="1"/>
    <x v="0"/>
    <x v="3"/>
    <x v="14"/>
    <x v="2"/>
    <x v="2"/>
    <x v="1"/>
    <x v="24"/>
    <x v="5"/>
    <x v="5"/>
    <x v="0"/>
  </r>
  <r>
    <x v="437"/>
    <x v="251"/>
    <x v="1"/>
    <x v="433"/>
    <x v="5"/>
    <x v="3"/>
    <x v="0"/>
    <x v="43"/>
    <x v="1"/>
    <x v="1"/>
    <x v="1"/>
    <x v="3"/>
    <x v="18"/>
    <x v="24"/>
    <x v="24"/>
    <x v="0"/>
  </r>
  <r>
    <x v="438"/>
    <x v="14"/>
    <x v="20"/>
    <x v="434"/>
    <x v="6"/>
    <x v="1"/>
    <x v="0"/>
    <x v="63"/>
    <x v="20"/>
    <x v="0"/>
    <x v="3"/>
    <x v="1"/>
    <x v="27"/>
    <x v="23"/>
    <x v="23"/>
    <x v="0"/>
  </r>
  <r>
    <x v="439"/>
    <x v="109"/>
    <x v="24"/>
    <x v="435"/>
    <x v="1"/>
    <x v="1"/>
    <x v="0"/>
    <x v="83"/>
    <x v="24"/>
    <x v="2"/>
    <x v="0"/>
    <x v="1"/>
    <x v="19"/>
    <x v="1"/>
    <x v="1"/>
    <x v="0"/>
  </r>
  <r>
    <x v="440"/>
    <x v="250"/>
    <x v="36"/>
    <x v="436"/>
    <x v="1"/>
    <x v="3"/>
    <x v="0"/>
    <x v="27"/>
    <x v="36"/>
    <x v="2"/>
    <x v="2"/>
    <x v="3"/>
    <x v="15"/>
    <x v="19"/>
    <x v="19"/>
    <x v="0"/>
  </r>
  <r>
    <x v="441"/>
    <x v="252"/>
    <x v="3"/>
    <x v="437"/>
    <x v="8"/>
    <x v="1"/>
    <x v="0"/>
    <x v="39"/>
    <x v="3"/>
    <x v="2"/>
    <x v="2"/>
    <x v="1"/>
    <x v="11"/>
    <x v="48"/>
    <x v="48"/>
    <x v="1"/>
  </r>
  <r>
    <x v="442"/>
    <x v="58"/>
    <x v="18"/>
    <x v="438"/>
    <x v="4"/>
    <x v="0"/>
    <x v="0"/>
    <x v="35"/>
    <x v="18"/>
    <x v="6"/>
    <x v="2"/>
    <x v="0"/>
    <x v="29"/>
    <x v="5"/>
    <x v="5"/>
    <x v="0"/>
  </r>
  <r>
    <x v="443"/>
    <x v="60"/>
    <x v="14"/>
    <x v="439"/>
    <x v="5"/>
    <x v="0"/>
    <x v="0"/>
    <x v="16"/>
    <x v="14"/>
    <x v="2"/>
    <x v="2"/>
    <x v="0"/>
    <x v="2"/>
    <x v="33"/>
    <x v="33"/>
    <x v="0"/>
  </r>
  <r>
    <x v="444"/>
    <x v="165"/>
    <x v="6"/>
    <x v="440"/>
    <x v="8"/>
    <x v="2"/>
    <x v="0"/>
    <x v="87"/>
    <x v="6"/>
    <x v="2"/>
    <x v="3"/>
    <x v="2"/>
    <x v="26"/>
    <x v="20"/>
    <x v="20"/>
    <x v="0"/>
  </r>
  <r>
    <x v="445"/>
    <x v="1"/>
    <x v="16"/>
    <x v="441"/>
    <x v="3"/>
    <x v="0"/>
    <x v="0"/>
    <x v="34"/>
    <x v="16"/>
    <x v="3"/>
    <x v="3"/>
    <x v="0"/>
    <x v="23"/>
    <x v="4"/>
    <x v="4"/>
    <x v="0"/>
  </r>
  <r>
    <x v="446"/>
    <x v="74"/>
    <x v="16"/>
    <x v="442"/>
    <x v="1"/>
    <x v="1"/>
    <x v="0"/>
    <x v="23"/>
    <x v="16"/>
    <x v="3"/>
    <x v="3"/>
    <x v="1"/>
    <x v="25"/>
    <x v="1"/>
    <x v="1"/>
    <x v="0"/>
  </r>
  <r>
    <x v="447"/>
    <x v="77"/>
    <x v="0"/>
    <x v="443"/>
    <x v="2"/>
    <x v="0"/>
    <x v="0"/>
    <x v="59"/>
    <x v="0"/>
    <x v="0"/>
    <x v="0"/>
    <x v="0"/>
    <x v="2"/>
    <x v="43"/>
    <x v="43"/>
    <x v="0"/>
  </r>
  <r>
    <x v="448"/>
    <x v="195"/>
    <x v="0"/>
    <x v="444"/>
    <x v="7"/>
    <x v="1"/>
    <x v="0"/>
    <x v="15"/>
    <x v="0"/>
    <x v="0"/>
    <x v="0"/>
    <x v="1"/>
    <x v="26"/>
    <x v="34"/>
    <x v="34"/>
    <x v="0"/>
  </r>
  <r>
    <x v="449"/>
    <x v="253"/>
    <x v="8"/>
    <x v="445"/>
    <x v="8"/>
    <x v="1"/>
    <x v="0"/>
    <x v="75"/>
    <x v="8"/>
    <x v="4"/>
    <x v="3"/>
    <x v="1"/>
    <x v="7"/>
    <x v="20"/>
    <x v="20"/>
    <x v="0"/>
  </r>
  <r>
    <x v="450"/>
    <x v="209"/>
    <x v="11"/>
    <x v="446"/>
    <x v="5"/>
    <x v="1"/>
    <x v="0"/>
    <x v="78"/>
    <x v="11"/>
    <x v="0"/>
    <x v="3"/>
    <x v="1"/>
    <x v="28"/>
    <x v="6"/>
    <x v="6"/>
    <x v="0"/>
  </r>
  <r>
    <x v="451"/>
    <x v="85"/>
    <x v="17"/>
    <x v="447"/>
    <x v="5"/>
    <x v="3"/>
    <x v="0"/>
    <x v="71"/>
    <x v="17"/>
    <x v="6"/>
    <x v="3"/>
    <x v="3"/>
    <x v="17"/>
    <x v="6"/>
    <x v="6"/>
    <x v="0"/>
  </r>
  <r>
    <x v="452"/>
    <x v="219"/>
    <x v="21"/>
    <x v="448"/>
    <x v="7"/>
    <x v="1"/>
    <x v="0"/>
    <x v="60"/>
    <x v="21"/>
    <x v="5"/>
    <x v="2"/>
    <x v="1"/>
    <x v="28"/>
    <x v="18"/>
    <x v="18"/>
    <x v="0"/>
  </r>
  <r>
    <x v="453"/>
    <x v="10"/>
    <x v="25"/>
    <x v="449"/>
    <x v="2"/>
    <x v="1"/>
    <x v="0"/>
    <x v="10"/>
    <x v="25"/>
    <x v="5"/>
    <x v="3"/>
    <x v="1"/>
    <x v="2"/>
    <x v="40"/>
    <x v="40"/>
    <x v="0"/>
  </r>
  <r>
    <x v="454"/>
    <x v="119"/>
    <x v="34"/>
    <x v="450"/>
    <x v="6"/>
    <x v="0"/>
    <x v="0"/>
    <x v="21"/>
    <x v="34"/>
    <x v="3"/>
    <x v="0"/>
    <x v="0"/>
    <x v="23"/>
    <x v="23"/>
    <x v="23"/>
    <x v="0"/>
  </r>
  <r>
    <x v="455"/>
    <x v="19"/>
    <x v="0"/>
    <x v="451"/>
    <x v="6"/>
    <x v="2"/>
    <x v="0"/>
    <x v="78"/>
    <x v="0"/>
    <x v="0"/>
    <x v="0"/>
    <x v="2"/>
    <x v="7"/>
    <x v="23"/>
    <x v="23"/>
    <x v="0"/>
  </r>
  <r>
    <x v="456"/>
    <x v="233"/>
    <x v="28"/>
    <x v="452"/>
    <x v="3"/>
    <x v="2"/>
    <x v="0"/>
    <x v="87"/>
    <x v="28"/>
    <x v="3"/>
    <x v="1"/>
    <x v="2"/>
    <x v="15"/>
    <x v="8"/>
    <x v="8"/>
    <x v="0"/>
  </r>
  <r>
    <x v="457"/>
    <x v="179"/>
    <x v="33"/>
    <x v="453"/>
    <x v="2"/>
    <x v="1"/>
    <x v="0"/>
    <x v="70"/>
    <x v="33"/>
    <x v="6"/>
    <x v="0"/>
    <x v="1"/>
    <x v="6"/>
    <x v="9"/>
    <x v="9"/>
    <x v="0"/>
  </r>
  <r>
    <x v="458"/>
    <x v="201"/>
    <x v="2"/>
    <x v="454"/>
    <x v="2"/>
    <x v="1"/>
    <x v="0"/>
    <x v="27"/>
    <x v="2"/>
    <x v="1"/>
    <x v="1"/>
    <x v="1"/>
    <x v="4"/>
    <x v="9"/>
    <x v="9"/>
    <x v="0"/>
  </r>
  <r>
    <x v="459"/>
    <x v="71"/>
    <x v="8"/>
    <x v="455"/>
    <x v="7"/>
    <x v="0"/>
    <x v="0"/>
    <x v="39"/>
    <x v="8"/>
    <x v="4"/>
    <x v="3"/>
    <x v="0"/>
    <x v="2"/>
    <x v="18"/>
    <x v="18"/>
    <x v="0"/>
  </r>
  <r>
    <x v="460"/>
    <x v="254"/>
    <x v="29"/>
    <x v="456"/>
    <x v="7"/>
    <x v="2"/>
    <x v="0"/>
    <x v="87"/>
    <x v="29"/>
    <x v="1"/>
    <x v="3"/>
    <x v="2"/>
    <x v="22"/>
    <x v="18"/>
    <x v="18"/>
    <x v="0"/>
  </r>
  <r>
    <x v="461"/>
    <x v="99"/>
    <x v="19"/>
    <x v="457"/>
    <x v="6"/>
    <x v="1"/>
    <x v="0"/>
    <x v="32"/>
    <x v="19"/>
    <x v="2"/>
    <x v="1"/>
    <x v="1"/>
    <x v="9"/>
    <x v="23"/>
    <x v="23"/>
    <x v="0"/>
  </r>
  <r>
    <x v="462"/>
    <x v="240"/>
    <x v="11"/>
    <x v="458"/>
    <x v="1"/>
    <x v="2"/>
    <x v="0"/>
    <x v="70"/>
    <x v="11"/>
    <x v="0"/>
    <x v="3"/>
    <x v="2"/>
    <x v="20"/>
    <x v="1"/>
    <x v="1"/>
    <x v="0"/>
  </r>
  <r>
    <x v="463"/>
    <x v="35"/>
    <x v="12"/>
    <x v="459"/>
    <x v="3"/>
    <x v="1"/>
    <x v="0"/>
    <x v="34"/>
    <x v="12"/>
    <x v="5"/>
    <x v="2"/>
    <x v="1"/>
    <x v="28"/>
    <x v="4"/>
    <x v="4"/>
    <x v="0"/>
  </r>
  <r>
    <x v="464"/>
    <x v="255"/>
    <x v="8"/>
    <x v="460"/>
    <x v="5"/>
    <x v="1"/>
    <x v="0"/>
    <x v="15"/>
    <x v="8"/>
    <x v="4"/>
    <x v="3"/>
    <x v="1"/>
    <x v="13"/>
    <x v="6"/>
    <x v="6"/>
    <x v="0"/>
  </r>
  <r>
    <x v="465"/>
    <x v="32"/>
    <x v="7"/>
    <x v="461"/>
    <x v="7"/>
    <x v="1"/>
    <x v="0"/>
    <x v="35"/>
    <x v="7"/>
    <x v="3"/>
    <x v="0"/>
    <x v="1"/>
    <x v="12"/>
    <x v="18"/>
    <x v="18"/>
    <x v="0"/>
  </r>
  <r>
    <x v="466"/>
    <x v="92"/>
    <x v="10"/>
    <x v="462"/>
    <x v="6"/>
    <x v="1"/>
    <x v="0"/>
    <x v="2"/>
    <x v="10"/>
    <x v="1"/>
    <x v="2"/>
    <x v="1"/>
    <x v="27"/>
    <x v="23"/>
    <x v="23"/>
    <x v="0"/>
  </r>
  <r>
    <x v="467"/>
    <x v="185"/>
    <x v="0"/>
    <x v="463"/>
    <x v="1"/>
    <x v="0"/>
    <x v="0"/>
    <x v="23"/>
    <x v="0"/>
    <x v="0"/>
    <x v="0"/>
    <x v="0"/>
    <x v="1"/>
    <x v="1"/>
    <x v="1"/>
    <x v="0"/>
  </r>
  <r>
    <x v="468"/>
    <x v="256"/>
    <x v="7"/>
    <x v="464"/>
    <x v="7"/>
    <x v="3"/>
    <x v="0"/>
    <x v="38"/>
    <x v="7"/>
    <x v="3"/>
    <x v="0"/>
    <x v="3"/>
    <x v="26"/>
    <x v="18"/>
    <x v="18"/>
    <x v="0"/>
  </r>
  <r>
    <x v="469"/>
    <x v="6"/>
    <x v="21"/>
    <x v="465"/>
    <x v="5"/>
    <x v="3"/>
    <x v="0"/>
    <x v="24"/>
    <x v="21"/>
    <x v="5"/>
    <x v="2"/>
    <x v="3"/>
    <x v="29"/>
    <x v="6"/>
    <x v="6"/>
    <x v="0"/>
  </r>
  <r>
    <x v="470"/>
    <x v="83"/>
    <x v="4"/>
    <x v="76"/>
    <x v="1"/>
    <x v="1"/>
    <x v="0"/>
    <x v="20"/>
    <x v="4"/>
    <x v="3"/>
    <x v="3"/>
    <x v="1"/>
    <x v="20"/>
    <x v="1"/>
    <x v="1"/>
    <x v="0"/>
  </r>
  <r>
    <x v="471"/>
    <x v="100"/>
    <x v="20"/>
    <x v="466"/>
    <x v="5"/>
    <x v="2"/>
    <x v="0"/>
    <x v="83"/>
    <x v="20"/>
    <x v="0"/>
    <x v="3"/>
    <x v="2"/>
    <x v="11"/>
    <x v="6"/>
    <x v="6"/>
    <x v="0"/>
  </r>
  <r>
    <x v="472"/>
    <x v="257"/>
    <x v="18"/>
    <x v="467"/>
    <x v="1"/>
    <x v="1"/>
    <x v="0"/>
    <x v="78"/>
    <x v="18"/>
    <x v="6"/>
    <x v="2"/>
    <x v="1"/>
    <x v="8"/>
    <x v="1"/>
    <x v="1"/>
    <x v="0"/>
  </r>
  <r>
    <x v="473"/>
    <x v="15"/>
    <x v="21"/>
    <x v="468"/>
    <x v="3"/>
    <x v="1"/>
    <x v="1"/>
    <x v="74"/>
    <x v="21"/>
    <x v="5"/>
    <x v="2"/>
    <x v="1"/>
    <x v="19"/>
    <x v="13"/>
    <x v="13"/>
    <x v="0"/>
  </r>
  <r>
    <x v="474"/>
    <x v="167"/>
    <x v="19"/>
    <x v="469"/>
    <x v="1"/>
    <x v="2"/>
    <x v="0"/>
    <x v="56"/>
    <x v="19"/>
    <x v="2"/>
    <x v="1"/>
    <x v="2"/>
    <x v="0"/>
    <x v="17"/>
    <x v="17"/>
    <x v="0"/>
  </r>
  <r>
    <x v="475"/>
    <x v="258"/>
    <x v="20"/>
    <x v="470"/>
    <x v="1"/>
    <x v="2"/>
    <x v="1"/>
    <x v="4"/>
    <x v="20"/>
    <x v="0"/>
    <x v="3"/>
    <x v="2"/>
    <x v="0"/>
    <x v="1"/>
    <x v="1"/>
    <x v="0"/>
  </r>
  <r>
    <x v="476"/>
    <x v="259"/>
    <x v="8"/>
    <x v="471"/>
    <x v="2"/>
    <x v="1"/>
    <x v="0"/>
    <x v="44"/>
    <x v="8"/>
    <x v="4"/>
    <x v="3"/>
    <x v="1"/>
    <x v="22"/>
    <x v="49"/>
    <x v="49"/>
    <x v="0"/>
  </r>
  <r>
    <x v="477"/>
    <x v="260"/>
    <x v="27"/>
    <x v="472"/>
    <x v="5"/>
    <x v="0"/>
    <x v="0"/>
    <x v="71"/>
    <x v="27"/>
    <x v="3"/>
    <x v="0"/>
    <x v="0"/>
    <x v="13"/>
    <x v="6"/>
    <x v="6"/>
    <x v="0"/>
  </r>
  <r>
    <x v="478"/>
    <x v="195"/>
    <x v="32"/>
    <x v="473"/>
    <x v="1"/>
    <x v="1"/>
    <x v="0"/>
    <x v="61"/>
    <x v="32"/>
    <x v="4"/>
    <x v="2"/>
    <x v="1"/>
    <x v="23"/>
    <x v="1"/>
    <x v="1"/>
    <x v="0"/>
  </r>
  <r>
    <x v="479"/>
    <x v="258"/>
    <x v="14"/>
    <x v="474"/>
    <x v="3"/>
    <x v="0"/>
    <x v="0"/>
    <x v="16"/>
    <x v="14"/>
    <x v="2"/>
    <x v="2"/>
    <x v="0"/>
    <x v="4"/>
    <x v="3"/>
    <x v="3"/>
    <x v="0"/>
  </r>
  <r>
    <x v="480"/>
    <x v="102"/>
    <x v="39"/>
    <x v="475"/>
    <x v="1"/>
    <x v="0"/>
    <x v="1"/>
    <x v="80"/>
    <x v="39"/>
    <x v="1"/>
    <x v="1"/>
    <x v="0"/>
    <x v="0"/>
    <x v="1"/>
    <x v="1"/>
    <x v="0"/>
  </r>
  <r>
    <x v="481"/>
    <x v="261"/>
    <x v="29"/>
    <x v="476"/>
    <x v="2"/>
    <x v="1"/>
    <x v="0"/>
    <x v="74"/>
    <x v="29"/>
    <x v="1"/>
    <x v="3"/>
    <x v="1"/>
    <x v="2"/>
    <x v="9"/>
    <x v="9"/>
    <x v="0"/>
  </r>
  <r>
    <x v="482"/>
    <x v="254"/>
    <x v="3"/>
    <x v="477"/>
    <x v="4"/>
    <x v="2"/>
    <x v="0"/>
    <x v="81"/>
    <x v="3"/>
    <x v="2"/>
    <x v="2"/>
    <x v="2"/>
    <x v="12"/>
    <x v="5"/>
    <x v="5"/>
    <x v="0"/>
  </r>
  <r>
    <x v="483"/>
    <x v="195"/>
    <x v="17"/>
    <x v="478"/>
    <x v="5"/>
    <x v="0"/>
    <x v="0"/>
    <x v="96"/>
    <x v="17"/>
    <x v="6"/>
    <x v="3"/>
    <x v="0"/>
    <x v="21"/>
    <x v="6"/>
    <x v="6"/>
    <x v="0"/>
  </r>
  <r>
    <x v="484"/>
    <x v="61"/>
    <x v="33"/>
    <x v="479"/>
    <x v="5"/>
    <x v="1"/>
    <x v="0"/>
    <x v="57"/>
    <x v="33"/>
    <x v="6"/>
    <x v="0"/>
    <x v="1"/>
    <x v="8"/>
    <x v="22"/>
    <x v="22"/>
    <x v="0"/>
  </r>
  <r>
    <x v="485"/>
    <x v="144"/>
    <x v="9"/>
    <x v="480"/>
    <x v="6"/>
    <x v="0"/>
    <x v="1"/>
    <x v="47"/>
    <x v="9"/>
    <x v="1"/>
    <x v="3"/>
    <x v="0"/>
    <x v="28"/>
    <x v="30"/>
    <x v="30"/>
    <x v="0"/>
  </r>
  <r>
    <x v="486"/>
    <x v="80"/>
    <x v="12"/>
    <x v="481"/>
    <x v="6"/>
    <x v="1"/>
    <x v="0"/>
    <x v="86"/>
    <x v="12"/>
    <x v="5"/>
    <x v="2"/>
    <x v="1"/>
    <x v="23"/>
    <x v="46"/>
    <x v="46"/>
    <x v="0"/>
  </r>
  <r>
    <x v="487"/>
    <x v="165"/>
    <x v="18"/>
    <x v="482"/>
    <x v="1"/>
    <x v="0"/>
    <x v="0"/>
    <x v="4"/>
    <x v="18"/>
    <x v="6"/>
    <x v="2"/>
    <x v="0"/>
    <x v="16"/>
    <x v="11"/>
    <x v="11"/>
    <x v="0"/>
  </r>
  <r>
    <x v="488"/>
    <x v="141"/>
    <x v="34"/>
    <x v="483"/>
    <x v="1"/>
    <x v="2"/>
    <x v="2"/>
    <x v="99"/>
    <x v="34"/>
    <x v="3"/>
    <x v="0"/>
    <x v="2"/>
    <x v="14"/>
    <x v="1"/>
    <x v="1"/>
    <x v="0"/>
  </r>
  <r>
    <x v="489"/>
    <x v="232"/>
    <x v="18"/>
    <x v="484"/>
    <x v="2"/>
    <x v="3"/>
    <x v="0"/>
    <x v="72"/>
    <x v="18"/>
    <x v="6"/>
    <x v="2"/>
    <x v="3"/>
    <x v="11"/>
    <x v="9"/>
    <x v="9"/>
    <x v="0"/>
  </r>
  <r>
    <x v="490"/>
    <x v="262"/>
    <x v="23"/>
    <x v="485"/>
    <x v="6"/>
    <x v="3"/>
    <x v="0"/>
    <x v="58"/>
    <x v="23"/>
    <x v="6"/>
    <x v="3"/>
    <x v="3"/>
    <x v="27"/>
    <x v="23"/>
    <x v="23"/>
    <x v="0"/>
  </r>
  <r>
    <x v="491"/>
    <x v="137"/>
    <x v="25"/>
    <x v="486"/>
    <x v="3"/>
    <x v="0"/>
    <x v="0"/>
    <x v="82"/>
    <x v="25"/>
    <x v="5"/>
    <x v="3"/>
    <x v="0"/>
    <x v="29"/>
    <x v="45"/>
    <x v="45"/>
    <x v="0"/>
  </r>
  <r>
    <x v="492"/>
    <x v="47"/>
    <x v="18"/>
    <x v="487"/>
    <x v="4"/>
    <x v="3"/>
    <x v="0"/>
    <x v="100"/>
    <x v="18"/>
    <x v="6"/>
    <x v="2"/>
    <x v="3"/>
    <x v="18"/>
    <x v="5"/>
    <x v="5"/>
    <x v="0"/>
  </r>
  <r>
    <x v="493"/>
    <x v="170"/>
    <x v="17"/>
    <x v="488"/>
    <x v="4"/>
    <x v="1"/>
    <x v="0"/>
    <x v="37"/>
    <x v="17"/>
    <x v="6"/>
    <x v="3"/>
    <x v="1"/>
    <x v="15"/>
    <x v="5"/>
    <x v="5"/>
    <x v="0"/>
  </r>
  <r>
    <x v="494"/>
    <x v="131"/>
    <x v="18"/>
    <x v="489"/>
    <x v="1"/>
    <x v="1"/>
    <x v="0"/>
    <x v="98"/>
    <x v="18"/>
    <x v="6"/>
    <x v="2"/>
    <x v="1"/>
    <x v="9"/>
    <x v="1"/>
    <x v="1"/>
    <x v="0"/>
  </r>
  <r>
    <x v="495"/>
    <x v="263"/>
    <x v="21"/>
    <x v="490"/>
    <x v="7"/>
    <x v="0"/>
    <x v="0"/>
    <x v="95"/>
    <x v="21"/>
    <x v="5"/>
    <x v="2"/>
    <x v="0"/>
    <x v="0"/>
    <x v="18"/>
    <x v="18"/>
    <x v="0"/>
  </r>
  <r>
    <x v="496"/>
    <x v="264"/>
    <x v="39"/>
    <x v="491"/>
    <x v="7"/>
    <x v="1"/>
    <x v="0"/>
    <x v="4"/>
    <x v="39"/>
    <x v="1"/>
    <x v="1"/>
    <x v="1"/>
    <x v="4"/>
    <x v="18"/>
    <x v="18"/>
    <x v="0"/>
  </r>
  <r>
    <x v="497"/>
    <x v="265"/>
    <x v="32"/>
    <x v="492"/>
    <x v="3"/>
    <x v="1"/>
    <x v="0"/>
    <x v="45"/>
    <x v="32"/>
    <x v="4"/>
    <x v="2"/>
    <x v="1"/>
    <x v="27"/>
    <x v="4"/>
    <x v="4"/>
    <x v="0"/>
  </r>
  <r>
    <x v="498"/>
    <x v="16"/>
    <x v="20"/>
    <x v="493"/>
    <x v="6"/>
    <x v="0"/>
    <x v="0"/>
    <x v="3"/>
    <x v="20"/>
    <x v="0"/>
    <x v="3"/>
    <x v="0"/>
    <x v="12"/>
    <x v="23"/>
    <x v="23"/>
    <x v="0"/>
  </r>
  <r>
    <x v="499"/>
    <x v="266"/>
    <x v="33"/>
    <x v="494"/>
    <x v="7"/>
    <x v="3"/>
    <x v="0"/>
    <x v="28"/>
    <x v="33"/>
    <x v="6"/>
    <x v="0"/>
    <x v="3"/>
    <x v="29"/>
    <x v="18"/>
    <x v="18"/>
    <x v="0"/>
  </r>
  <r>
    <x v="500"/>
    <x v="267"/>
    <x v="23"/>
    <x v="495"/>
    <x v="9"/>
    <x v="3"/>
    <x v="2"/>
    <x v="1"/>
    <x v="23"/>
    <x v="6"/>
    <x v="3"/>
    <x v="3"/>
    <x v="3"/>
    <x v="51"/>
    <x v="51"/>
    <x v="0"/>
  </r>
  <r>
    <x v="501"/>
    <x v="268"/>
    <x v="12"/>
    <x v="496"/>
    <x v="8"/>
    <x v="3"/>
    <x v="2"/>
    <x v="54"/>
    <x v="12"/>
    <x v="5"/>
    <x v="2"/>
    <x v="3"/>
    <x v="7"/>
    <x v="20"/>
    <x v="20"/>
    <x v="0"/>
  </r>
  <r>
    <x v="502"/>
    <x v="269"/>
    <x v="10"/>
    <x v="497"/>
    <x v="9"/>
    <x v="3"/>
    <x v="2"/>
    <x v="1"/>
    <x v="10"/>
    <x v="1"/>
    <x v="2"/>
    <x v="3"/>
    <x v="8"/>
    <x v="51"/>
    <x v="51"/>
    <x v="0"/>
  </r>
  <r>
    <x v="503"/>
    <x v="270"/>
    <x v="6"/>
    <x v="498"/>
    <x v="8"/>
    <x v="3"/>
    <x v="2"/>
    <x v="62"/>
    <x v="6"/>
    <x v="2"/>
    <x v="3"/>
    <x v="3"/>
    <x v="8"/>
    <x v="20"/>
    <x v="20"/>
    <x v="0"/>
  </r>
  <r>
    <x v="504"/>
    <x v="271"/>
    <x v="13"/>
    <x v="499"/>
    <x v="8"/>
    <x v="3"/>
    <x v="2"/>
    <x v="3"/>
    <x v="13"/>
    <x v="3"/>
    <x v="1"/>
    <x v="3"/>
    <x v="24"/>
    <x v="20"/>
    <x v="20"/>
    <x v="0"/>
  </r>
  <r>
    <x v="505"/>
    <x v="272"/>
    <x v="14"/>
    <x v="500"/>
    <x v="0"/>
    <x v="3"/>
    <x v="2"/>
    <x v="42"/>
    <x v="14"/>
    <x v="2"/>
    <x v="2"/>
    <x v="3"/>
    <x v="0"/>
    <x v="50"/>
    <x v="50"/>
    <x v="0"/>
  </r>
  <r>
    <x v="506"/>
    <x v="273"/>
    <x v="21"/>
    <x v="501"/>
    <x v="9"/>
    <x v="3"/>
    <x v="2"/>
    <x v="80"/>
    <x v="21"/>
    <x v="5"/>
    <x v="2"/>
    <x v="3"/>
    <x v="20"/>
    <x v="51"/>
    <x v="51"/>
    <x v="0"/>
  </r>
  <r>
    <x v="507"/>
    <x v="274"/>
    <x v="25"/>
    <x v="502"/>
    <x v="10"/>
    <x v="3"/>
    <x v="2"/>
    <x v="3"/>
    <x v="25"/>
    <x v="5"/>
    <x v="3"/>
    <x v="3"/>
    <x v="19"/>
    <x v="52"/>
    <x v="52"/>
    <x v="0"/>
  </r>
  <r>
    <x v="508"/>
    <x v="275"/>
    <x v="26"/>
    <x v="503"/>
    <x v="0"/>
    <x v="3"/>
    <x v="2"/>
    <x v="42"/>
    <x v="26"/>
    <x v="1"/>
    <x v="1"/>
    <x v="3"/>
    <x v="21"/>
    <x v="26"/>
    <x v="26"/>
    <x v="0"/>
  </r>
  <r>
    <x v="509"/>
    <x v="276"/>
    <x v="33"/>
    <x v="504"/>
    <x v="9"/>
    <x v="3"/>
    <x v="2"/>
    <x v="12"/>
    <x v="33"/>
    <x v="6"/>
    <x v="0"/>
    <x v="3"/>
    <x v="11"/>
    <x v="51"/>
    <x v="51"/>
    <x v="0"/>
  </r>
  <r>
    <x v="510"/>
    <x v="277"/>
    <x v="34"/>
    <x v="505"/>
    <x v="8"/>
    <x v="3"/>
    <x v="2"/>
    <x v="54"/>
    <x v="34"/>
    <x v="3"/>
    <x v="0"/>
    <x v="3"/>
    <x v="26"/>
    <x v="20"/>
    <x v="20"/>
    <x v="0"/>
  </r>
  <r>
    <x v="511"/>
    <x v="278"/>
    <x v="38"/>
    <x v="506"/>
    <x v="8"/>
    <x v="3"/>
    <x v="2"/>
    <x v="80"/>
    <x v="38"/>
    <x v="5"/>
    <x v="1"/>
    <x v="3"/>
    <x v="20"/>
    <x v="20"/>
    <x v="20"/>
    <x v="0"/>
  </r>
  <r>
    <x v="512"/>
    <x v="279"/>
    <x v="1"/>
    <x v="507"/>
    <x v="10"/>
    <x v="3"/>
    <x v="2"/>
    <x v="54"/>
    <x v="1"/>
    <x v="1"/>
    <x v="1"/>
    <x v="3"/>
    <x v="20"/>
    <x v="47"/>
    <x v="47"/>
    <x v="0"/>
  </r>
  <r>
    <x v="513"/>
    <x v="280"/>
    <x v="38"/>
    <x v="508"/>
    <x v="10"/>
    <x v="3"/>
    <x v="2"/>
    <x v="73"/>
    <x v="38"/>
    <x v="5"/>
    <x v="1"/>
    <x v="3"/>
    <x v="13"/>
    <x v="39"/>
    <x v="39"/>
    <x v="1"/>
  </r>
  <r>
    <x v="514"/>
    <x v="281"/>
    <x v="5"/>
    <x v="509"/>
    <x v="9"/>
    <x v="3"/>
    <x v="2"/>
    <x v="12"/>
    <x v="5"/>
    <x v="2"/>
    <x v="1"/>
    <x v="3"/>
    <x v="15"/>
    <x v="51"/>
    <x v="51"/>
    <x v="0"/>
  </r>
  <r>
    <x v="515"/>
    <x v="225"/>
    <x v="22"/>
    <x v="510"/>
    <x v="11"/>
    <x v="3"/>
    <x v="1"/>
    <x v="47"/>
    <x v="22"/>
    <x v="6"/>
    <x v="3"/>
    <x v="3"/>
    <x v="22"/>
    <x v="53"/>
    <x v="53"/>
    <x v="0"/>
  </r>
  <r>
    <x v="516"/>
    <x v="225"/>
    <x v="23"/>
    <x v="511"/>
    <x v="5"/>
    <x v="3"/>
    <x v="1"/>
    <x v="95"/>
    <x v="23"/>
    <x v="6"/>
    <x v="3"/>
    <x v="3"/>
    <x v="22"/>
    <x v="38"/>
    <x v="38"/>
    <x v="0"/>
  </r>
  <r>
    <x v="517"/>
    <x v="225"/>
    <x v="28"/>
    <x v="512"/>
    <x v="5"/>
    <x v="3"/>
    <x v="1"/>
    <x v="98"/>
    <x v="28"/>
    <x v="3"/>
    <x v="1"/>
    <x v="3"/>
    <x v="22"/>
    <x v="6"/>
    <x v="6"/>
    <x v="0"/>
  </r>
  <r>
    <x v="518"/>
    <x v="225"/>
    <x v="36"/>
    <x v="513"/>
    <x v="6"/>
    <x v="3"/>
    <x v="0"/>
    <x v="10"/>
    <x v="36"/>
    <x v="2"/>
    <x v="2"/>
    <x v="3"/>
    <x v="22"/>
    <x v="7"/>
    <x v="7"/>
    <x v="0"/>
  </r>
  <r>
    <x v="519"/>
    <x v="206"/>
    <x v="24"/>
    <x v="514"/>
    <x v="6"/>
    <x v="3"/>
    <x v="1"/>
    <x v="98"/>
    <x v="24"/>
    <x v="2"/>
    <x v="0"/>
    <x v="3"/>
    <x v="28"/>
    <x v="23"/>
    <x v="23"/>
    <x v="0"/>
  </r>
  <r>
    <x v="520"/>
    <x v="206"/>
    <x v="34"/>
    <x v="515"/>
    <x v="11"/>
    <x v="3"/>
    <x v="1"/>
    <x v="34"/>
    <x v="34"/>
    <x v="3"/>
    <x v="0"/>
    <x v="3"/>
    <x v="28"/>
    <x v="53"/>
    <x v="53"/>
    <x v="0"/>
  </r>
  <r>
    <x v="521"/>
    <x v="206"/>
    <x v="20"/>
    <x v="516"/>
    <x v="5"/>
    <x v="3"/>
    <x v="1"/>
    <x v="22"/>
    <x v="20"/>
    <x v="0"/>
    <x v="3"/>
    <x v="3"/>
    <x v="28"/>
    <x v="29"/>
    <x v="29"/>
    <x v="0"/>
  </r>
  <r>
    <x v="522"/>
    <x v="206"/>
    <x v="1"/>
    <x v="517"/>
    <x v="5"/>
    <x v="3"/>
    <x v="0"/>
    <x v="89"/>
    <x v="1"/>
    <x v="1"/>
    <x v="1"/>
    <x v="3"/>
    <x v="28"/>
    <x v="6"/>
    <x v="6"/>
    <x v="0"/>
  </r>
  <r>
    <x v="523"/>
    <x v="282"/>
    <x v="3"/>
    <x v="518"/>
    <x v="11"/>
    <x v="3"/>
    <x v="1"/>
    <x v="73"/>
    <x v="3"/>
    <x v="2"/>
    <x v="2"/>
    <x v="3"/>
    <x v="28"/>
    <x v="42"/>
    <x v="42"/>
    <x v="0"/>
  </r>
  <r>
    <x v="524"/>
    <x v="282"/>
    <x v="36"/>
    <x v="519"/>
    <x v="11"/>
    <x v="3"/>
    <x v="1"/>
    <x v="39"/>
    <x v="36"/>
    <x v="2"/>
    <x v="2"/>
    <x v="3"/>
    <x v="28"/>
    <x v="53"/>
    <x v="53"/>
    <x v="0"/>
  </r>
  <r>
    <x v="525"/>
    <x v="282"/>
    <x v="20"/>
    <x v="520"/>
    <x v="5"/>
    <x v="3"/>
    <x v="1"/>
    <x v="80"/>
    <x v="20"/>
    <x v="0"/>
    <x v="3"/>
    <x v="3"/>
    <x v="28"/>
    <x v="29"/>
    <x v="29"/>
    <x v="0"/>
  </r>
  <r>
    <x v="526"/>
    <x v="282"/>
    <x v="26"/>
    <x v="521"/>
    <x v="11"/>
    <x v="3"/>
    <x v="0"/>
    <x v="48"/>
    <x v="26"/>
    <x v="1"/>
    <x v="1"/>
    <x v="3"/>
    <x v="28"/>
    <x v="53"/>
    <x v="53"/>
    <x v="0"/>
  </r>
  <r>
    <x v="527"/>
    <x v="16"/>
    <x v="30"/>
    <x v="522"/>
    <x v="5"/>
    <x v="3"/>
    <x v="1"/>
    <x v="79"/>
    <x v="30"/>
    <x v="6"/>
    <x v="1"/>
    <x v="3"/>
    <x v="22"/>
    <x v="6"/>
    <x v="6"/>
    <x v="0"/>
  </r>
  <r>
    <x v="528"/>
    <x v="16"/>
    <x v="23"/>
    <x v="523"/>
    <x v="6"/>
    <x v="3"/>
    <x v="1"/>
    <x v="15"/>
    <x v="23"/>
    <x v="6"/>
    <x v="3"/>
    <x v="3"/>
    <x v="22"/>
    <x v="38"/>
    <x v="38"/>
    <x v="0"/>
  </r>
  <r>
    <x v="529"/>
    <x v="16"/>
    <x v="0"/>
    <x v="524"/>
    <x v="6"/>
    <x v="3"/>
    <x v="1"/>
    <x v="82"/>
    <x v="0"/>
    <x v="0"/>
    <x v="0"/>
    <x v="3"/>
    <x v="22"/>
    <x v="23"/>
    <x v="23"/>
    <x v="0"/>
  </r>
  <r>
    <x v="530"/>
    <x v="16"/>
    <x v="25"/>
    <x v="525"/>
    <x v="5"/>
    <x v="3"/>
    <x v="0"/>
    <x v="79"/>
    <x v="25"/>
    <x v="5"/>
    <x v="3"/>
    <x v="3"/>
    <x v="22"/>
    <x v="6"/>
    <x v="6"/>
    <x v="0"/>
  </r>
  <r>
    <x v="531"/>
    <x v="1"/>
    <x v="19"/>
    <x v="526"/>
    <x v="11"/>
    <x v="3"/>
    <x v="1"/>
    <x v="82"/>
    <x v="19"/>
    <x v="2"/>
    <x v="1"/>
    <x v="3"/>
    <x v="12"/>
    <x v="53"/>
    <x v="53"/>
    <x v="0"/>
  </r>
  <r>
    <x v="532"/>
    <x v="1"/>
    <x v="9"/>
    <x v="527"/>
    <x v="6"/>
    <x v="3"/>
    <x v="1"/>
    <x v="47"/>
    <x v="9"/>
    <x v="1"/>
    <x v="3"/>
    <x v="3"/>
    <x v="12"/>
    <x v="7"/>
    <x v="7"/>
    <x v="0"/>
  </r>
  <r>
    <x v="533"/>
    <x v="1"/>
    <x v="22"/>
    <x v="528"/>
    <x v="5"/>
    <x v="3"/>
    <x v="1"/>
    <x v="44"/>
    <x v="22"/>
    <x v="6"/>
    <x v="3"/>
    <x v="3"/>
    <x v="12"/>
    <x v="6"/>
    <x v="6"/>
    <x v="0"/>
  </r>
  <r>
    <x v="534"/>
    <x v="1"/>
    <x v="26"/>
    <x v="529"/>
    <x v="6"/>
    <x v="3"/>
    <x v="0"/>
    <x v="47"/>
    <x v="26"/>
    <x v="1"/>
    <x v="1"/>
    <x v="3"/>
    <x v="12"/>
    <x v="30"/>
    <x v="30"/>
    <x v="0"/>
  </r>
  <r>
    <x v="535"/>
    <x v="42"/>
    <x v="16"/>
    <x v="530"/>
    <x v="5"/>
    <x v="3"/>
    <x v="1"/>
    <x v="81"/>
    <x v="16"/>
    <x v="3"/>
    <x v="3"/>
    <x v="3"/>
    <x v="9"/>
    <x v="6"/>
    <x v="6"/>
    <x v="0"/>
  </r>
  <r>
    <x v="536"/>
    <x v="42"/>
    <x v="32"/>
    <x v="531"/>
    <x v="6"/>
    <x v="3"/>
    <x v="1"/>
    <x v="95"/>
    <x v="32"/>
    <x v="4"/>
    <x v="2"/>
    <x v="3"/>
    <x v="9"/>
    <x v="23"/>
    <x v="23"/>
    <x v="0"/>
  </r>
  <r>
    <x v="537"/>
    <x v="42"/>
    <x v="8"/>
    <x v="532"/>
    <x v="5"/>
    <x v="3"/>
    <x v="1"/>
    <x v="75"/>
    <x v="8"/>
    <x v="4"/>
    <x v="3"/>
    <x v="3"/>
    <x v="9"/>
    <x v="44"/>
    <x v="44"/>
    <x v="0"/>
  </r>
  <r>
    <x v="538"/>
    <x v="42"/>
    <x v="17"/>
    <x v="533"/>
    <x v="5"/>
    <x v="3"/>
    <x v="0"/>
    <x v="59"/>
    <x v="17"/>
    <x v="6"/>
    <x v="3"/>
    <x v="3"/>
    <x v="9"/>
    <x v="37"/>
    <x v="37"/>
    <x v="0"/>
  </r>
  <r>
    <x v="539"/>
    <x v="53"/>
    <x v="33"/>
    <x v="534"/>
    <x v="6"/>
    <x v="3"/>
    <x v="1"/>
    <x v="62"/>
    <x v="33"/>
    <x v="6"/>
    <x v="0"/>
    <x v="3"/>
    <x v="10"/>
    <x v="23"/>
    <x v="23"/>
    <x v="0"/>
  </r>
  <r>
    <x v="540"/>
    <x v="53"/>
    <x v="38"/>
    <x v="535"/>
    <x v="11"/>
    <x v="3"/>
    <x v="1"/>
    <x v="0"/>
    <x v="38"/>
    <x v="5"/>
    <x v="1"/>
    <x v="3"/>
    <x v="10"/>
    <x v="53"/>
    <x v="53"/>
    <x v="0"/>
  </r>
  <r>
    <x v="541"/>
    <x v="53"/>
    <x v="35"/>
    <x v="536"/>
    <x v="5"/>
    <x v="3"/>
    <x v="1"/>
    <x v="39"/>
    <x v="35"/>
    <x v="3"/>
    <x v="3"/>
    <x v="3"/>
    <x v="10"/>
    <x v="22"/>
    <x v="22"/>
    <x v="0"/>
  </r>
  <r>
    <x v="542"/>
    <x v="53"/>
    <x v="5"/>
    <x v="537"/>
    <x v="11"/>
    <x v="3"/>
    <x v="0"/>
    <x v="82"/>
    <x v="5"/>
    <x v="2"/>
    <x v="1"/>
    <x v="3"/>
    <x v="10"/>
    <x v="53"/>
    <x v="53"/>
    <x v="0"/>
  </r>
  <r>
    <x v="543"/>
    <x v="243"/>
    <x v="12"/>
    <x v="538"/>
    <x v="6"/>
    <x v="3"/>
    <x v="1"/>
    <x v="85"/>
    <x v="12"/>
    <x v="5"/>
    <x v="2"/>
    <x v="3"/>
    <x v="20"/>
    <x v="29"/>
    <x v="29"/>
    <x v="0"/>
  </r>
  <r>
    <x v="544"/>
    <x v="243"/>
    <x v="39"/>
    <x v="539"/>
    <x v="11"/>
    <x v="3"/>
    <x v="1"/>
    <x v="89"/>
    <x v="39"/>
    <x v="1"/>
    <x v="1"/>
    <x v="3"/>
    <x v="20"/>
    <x v="3"/>
    <x v="3"/>
    <x v="0"/>
  </r>
  <r>
    <x v="545"/>
    <x v="243"/>
    <x v="0"/>
    <x v="540"/>
    <x v="11"/>
    <x v="3"/>
    <x v="1"/>
    <x v="89"/>
    <x v="0"/>
    <x v="0"/>
    <x v="0"/>
    <x v="3"/>
    <x v="20"/>
    <x v="53"/>
    <x v="53"/>
    <x v="0"/>
  </r>
  <r>
    <x v="546"/>
    <x v="243"/>
    <x v="9"/>
    <x v="541"/>
    <x v="11"/>
    <x v="3"/>
    <x v="0"/>
    <x v="76"/>
    <x v="9"/>
    <x v="1"/>
    <x v="3"/>
    <x v="3"/>
    <x v="20"/>
    <x v="34"/>
    <x v="3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A3:C477" firstHeaderRow="1" firstDataRow="1" firstDataCol="2"/>
  <pivotFields count="13">
    <pivotField compact="0" outline="0" showAll="0">
      <items count="5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1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numFmtId="22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13">
        <item x="1"/>
        <item x="3"/>
        <item x="7"/>
        <item x="5"/>
        <item x="11"/>
        <item x="6"/>
        <item x="4"/>
        <item x="10"/>
        <item x="2"/>
        <item x="9"/>
        <item x="0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1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x="3"/>
        <item x="1"/>
        <item x="2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numFmtId="1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numFmtId="176" showAll="0">
      <items count="31">
        <item x="9"/>
        <item x="22"/>
        <item x="29"/>
        <item x="1"/>
        <item x="14"/>
        <item x="4"/>
        <item x="25"/>
        <item x="5"/>
        <item x="10"/>
        <item x="27"/>
        <item x="7"/>
        <item x="28"/>
        <item x="11"/>
        <item x="12"/>
        <item x="17"/>
        <item x="24"/>
        <item x="18"/>
        <item x="15"/>
        <item x="23"/>
        <item x="26"/>
        <item x="8"/>
        <item x="13"/>
        <item x="20"/>
        <item x="2"/>
        <item x="21"/>
        <item x="16"/>
        <item x="6"/>
        <item x="19"/>
        <item x="0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2"/>
    <field x="8"/>
  </rowFields>
  <rowItems count="474">
    <i>
      <x/>
      <x v="4"/>
    </i>
    <i r="1">
      <x v="5"/>
    </i>
    <i r="1">
      <x v="8"/>
    </i>
    <i r="1">
      <x v="11"/>
    </i>
    <i r="1">
      <x v="13"/>
    </i>
    <i r="1">
      <x v="14"/>
    </i>
    <i r="1">
      <x v="16"/>
    </i>
    <i r="1">
      <x v="20"/>
    </i>
    <i r="1">
      <x v="21"/>
    </i>
    <i r="1">
      <x v="26"/>
    </i>
    <i r="1">
      <x v="34"/>
    </i>
    <i r="1">
      <x v="35"/>
    </i>
    <i r="1">
      <x v="36"/>
    </i>
    <i r="1">
      <x v="39"/>
    </i>
    <i t="default">
      <x/>
    </i>
    <i>
      <x v="1"/>
      <x v="3"/>
    </i>
    <i r="1">
      <x v="6"/>
    </i>
    <i r="1">
      <x v="7"/>
    </i>
    <i r="1">
      <x v="13"/>
    </i>
    <i r="1">
      <x v="15"/>
    </i>
    <i r="1">
      <x v="16"/>
    </i>
    <i r="1">
      <x v="18"/>
    </i>
    <i r="1">
      <x v="19"/>
    </i>
    <i r="1">
      <x v="24"/>
    </i>
    <i r="1">
      <x v="25"/>
    </i>
    <i r="1">
      <x v="33"/>
    </i>
    <i r="1">
      <x v="34"/>
    </i>
    <i r="1">
      <x v="35"/>
    </i>
    <i r="1">
      <x v="36"/>
    </i>
    <i r="1">
      <x v="38"/>
    </i>
    <i t="default">
      <x v="1"/>
    </i>
    <i>
      <x v="2"/>
      <x v="2"/>
    </i>
    <i r="1">
      <x v="4"/>
    </i>
    <i r="1">
      <x v="5"/>
    </i>
    <i r="1">
      <x v="6"/>
    </i>
    <i r="1">
      <x v="7"/>
    </i>
    <i r="1">
      <x v="13"/>
    </i>
    <i r="1">
      <x v="15"/>
    </i>
    <i r="1">
      <x v="16"/>
    </i>
    <i r="1">
      <x v="19"/>
    </i>
    <i r="1">
      <x v="23"/>
    </i>
    <i r="1">
      <x v="25"/>
    </i>
    <i r="1">
      <x v="29"/>
    </i>
    <i r="1">
      <x v="31"/>
    </i>
    <i r="1">
      <x v="32"/>
    </i>
    <i r="1">
      <x v="35"/>
    </i>
    <i r="1">
      <x v="36"/>
    </i>
    <i r="1">
      <x v="39"/>
    </i>
    <i t="default">
      <x v="2"/>
    </i>
    <i>
      <x v="3"/>
      <x v="8"/>
    </i>
    <i r="1">
      <x v="10"/>
    </i>
    <i r="1">
      <x v="13"/>
    </i>
    <i r="1">
      <x v="15"/>
    </i>
    <i r="1">
      <x v="19"/>
    </i>
    <i r="1">
      <x v="23"/>
    </i>
    <i r="1">
      <x v="26"/>
    </i>
    <i r="1">
      <x v="28"/>
    </i>
    <i r="1">
      <x v="31"/>
    </i>
    <i r="1">
      <x v="32"/>
    </i>
    <i r="1">
      <x v="35"/>
    </i>
    <i r="1">
      <x v="36"/>
    </i>
    <i t="default">
      <x v="3"/>
    </i>
    <i>
      <x v="4"/>
      <x/>
    </i>
    <i r="1">
      <x v="2"/>
    </i>
    <i r="1">
      <x v="5"/>
    </i>
    <i r="1">
      <x v="6"/>
    </i>
    <i r="1">
      <x v="8"/>
    </i>
    <i r="1">
      <x v="9"/>
    </i>
    <i r="1">
      <x v="13"/>
    </i>
    <i r="1">
      <x v="15"/>
    </i>
    <i r="1">
      <x v="20"/>
    </i>
    <i r="1">
      <x v="21"/>
    </i>
    <i r="1">
      <x v="24"/>
    </i>
    <i r="1">
      <x v="28"/>
    </i>
    <i r="1">
      <x v="30"/>
    </i>
    <i r="1">
      <x v="33"/>
    </i>
    <i r="1">
      <x v="36"/>
    </i>
    <i r="1">
      <x v="37"/>
    </i>
    <i r="1">
      <x v="38"/>
    </i>
    <i t="default">
      <x v="4"/>
    </i>
    <i>
      <x v="5"/>
      <x/>
    </i>
    <i r="1">
      <x v="2"/>
    </i>
    <i r="1">
      <x v="7"/>
    </i>
    <i r="1">
      <x v="8"/>
    </i>
    <i r="1">
      <x v="10"/>
    </i>
    <i r="1">
      <x v="17"/>
    </i>
    <i r="1">
      <x v="18"/>
    </i>
    <i r="1">
      <x v="24"/>
    </i>
    <i r="1">
      <x v="25"/>
    </i>
    <i r="1">
      <x v="31"/>
    </i>
    <i r="1">
      <x v="36"/>
    </i>
    <i r="1">
      <x v="37"/>
    </i>
    <i t="default">
      <x v="5"/>
    </i>
    <i>
      <x v="6"/>
      <x v="1"/>
    </i>
    <i r="1">
      <x v="2"/>
    </i>
    <i r="1">
      <x v="10"/>
    </i>
    <i r="1">
      <x v="13"/>
    </i>
    <i r="1">
      <x v="14"/>
    </i>
    <i r="1">
      <x v="21"/>
    </i>
    <i r="1">
      <x v="23"/>
    </i>
    <i r="1">
      <x v="30"/>
    </i>
    <i t="default">
      <x v="6"/>
    </i>
    <i>
      <x v="7"/>
      <x v="1"/>
    </i>
    <i r="1">
      <x v="2"/>
    </i>
    <i r="1">
      <x v="5"/>
    </i>
    <i r="1">
      <x v="6"/>
    </i>
    <i r="1">
      <x v="7"/>
    </i>
    <i r="1">
      <x v="9"/>
    </i>
    <i r="1">
      <x v="12"/>
    </i>
    <i r="1">
      <x v="13"/>
    </i>
    <i r="1">
      <x v="22"/>
    </i>
    <i r="1">
      <x v="27"/>
    </i>
    <i r="1">
      <x v="28"/>
    </i>
    <i r="1">
      <x v="29"/>
    </i>
    <i r="1">
      <x v="39"/>
    </i>
    <i t="default">
      <x v="7"/>
    </i>
    <i>
      <x v="8"/>
      <x/>
    </i>
    <i r="1">
      <x v="4"/>
    </i>
    <i r="1">
      <x v="5"/>
    </i>
    <i r="1">
      <x v="8"/>
    </i>
    <i r="1">
      <x v="11"/>
    </i>
    <i r="1">
      <x v="12"/>
    </i>
    <i r="1">
      <x v="18"/>
    </i>
    <i r="1">
      <x v="20"/>
    </i>
    <i r="1">
      <x v="22"/>
    </i>
    <i r="1">
      <x v="27"/>
    </i>
    <i r="1">
      <x v="28"/>
    </i>
    <i r="1">
      <x v="29"/>
    </i>
    <i r="1">
      <x v="30"/>
    </i>
    <i r="1">
      <x v="31"/>
    </i>
    <i r="1">
      <x v="33"/>
    </i>
    <i r="1">
      <x v="37"/>
    </i>
    <i r="1">
      <x v="38"/>
    </i>
    <i t="default">
      <x v="8"/>
    </i>
    <i>
      <x v="9"/>
      <x v="4"/>
    </i>
    <i r="1">
      <x v="6"/>
    </i>
    <i r="1">
      <x v="8"/>
    </i>
    <i r="1">
      <x v="12"/>
    </i>
    <i r="1">
      <x v="14"/>
    </i>
    <i r="1">
      <x v="18"/>
    </i>
    <i r="1">
      <x v="19"/>
    </i>
    <i r="1">
      <x v="21"/>
    </i>
    <i r="1">
      <x v="25"/>
    </i>
    <i r="1">
      <x v="26"/>
    </i>
    <i r="1">
      <x v="27"/>
    </i>
    <i r="1">
      <x v="30"/>
    </i>
    <i r="1">
      <x v="33"/>
    </i>
    <i r="1">
      <x v="37"/>
    </i>
    <i r="1">
      <x v="38"/>
    </i>
    <i t="default">
      <x v="9"/>
    </i>
    <i>
      <x v="10"/>
      <x/>
    </i>
    <i r="1">
      <x v="5"/>
    </i>
    <i r="1">
      <x v="7"/>
    </i>
    <i r="1">
      <x v="9"/>
    </i>
    <i r="1">
      <x v="10"/>
    </i>
    <i r="1">
      <x v="15"/>
    </i>
    <i r="1">
      <x v="16"/>
    </i>
    <i r="1">
      <x v="17"/>
    </i>
    <i r="1">
      <x v="21"/>
    </i>
    <i r="1">
      <x v="23"/>
    </i>
    <i r="1">
      <x v="24"/>
    </i>
    <i r="1">
      <x v="27"/>
    </i>
    <i r="1">
      <x v="34"/>
    </i>
    <i r="1">
      <x v="39"/>
    </i>
    <i t="default">
      <x v="10"/>
    </i>
    <i>
      <x v="11"/>
      <x/>
    </i>
    <i r="1">
      <x v="1"/>
    </i>
    <i r="1">
      <x v="3"/>
    </i>
    <i r="1">
      <x v="7"/>
    </i>
    <i r="1">
      <x v="8"/>
    </i>
    <i r="1">
      <x v="9"/>
    </i>
    <i r="1">
      <x v="11"/>
    </i>
    <i r="1">
      <x v="16"/>
    </i>
    <i r="1">
      <x v="17"/>
    </i>
    <i r="1">
      <x v="21"/>
    </i>
    <i r="1">
      <x v="22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6"/>
    </i>
    <i r="1">
      <x v="39"/>
    </i>
    <i t="default">
      <x v="11"/>
    </i>
    <i>
      <x v="12"/>
      <x v="1"/>
    </i>
    <i r="1">
      <x v="2"/>
    </i>
    <i r="1">
      <x v="3"/>
    </i>
    <i r="1">
      <x v="5"/>
    </i>
    <i r="1">
      <x v="9"/>
    </i>
    <i r="1">
      <x v="14"/>
    </i>
    <i r="1">
      <x v="21"/>
    </i>
    <i r="1">
      <x v="24"/>
    </i>
    <i r="1">
      <x v="29"/>
    </i>
    <i r="1">
      <x v="30"/>
    </i>
    <i r="1">
      <x v="31"/>
    </i>
    <i r="1">
      <x v="34"/>
    </i>
    <i r="1">
      <x v="39"/>
    </i>
    <i t="default">
      <x v="12"/>
    </i>
    <i>
      <x v="13"/>
      <x v="9"/>
    </i>
    <i r="1">
      <x v="11"/>
    </i>
    <i r="1">
      <x v="12"/>
    </i>
    <i r="1">
      <x v="14"/>
    </i>
    <i r="1">
      <x v="17"/>
    </i>
    <i r="1">
      <x v="20"/>
    </i>
    <i r="1">
      <x v="21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9"/>
    </i>
    <i t="default">
      <x v="13"/>
    </i>
    <i>
      <x v="14"/>
      <x v="1"/>
    </i>
    <i r="1">
      <x v="4"/>
    </i>
    <i r="1">
      <x v="5"/>
    </i>
    <i r="1">
      <x v="6"/>
    </i>
    <i r="1">
      <x v="8"/>
    </i>
    <i r="1">
      <x v="9"/>
    </i>
    <i r="1">
      <x v="12"/>
    </i>
    <i r="1">
      <x v="15"/>
    </i>
    <i r="1">
      <x v="17"/>
    </i>
    <i r="1">
      <x v="18"/>
    </i>
    <i r="1">
      <x v="20"/>
    </i>
    <i r="1">
      <x v="24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7"/>
    </i>
    <i r="1">
      <x v="39"/>
    </i>
    <i t="default">
      <x v="14"/>
    </i>
    <i>
      <x v="15"/>
      <x v="2"/>
    </i>
    <i r="1">
      <x v="3"/>
    </i>
    <i r="1">
      <x v="7"/>
    </i>
    <i r="1">
      <x v="9"/>
    </i>
    <i r="1">
      <x v="17"/>
    </i>
    <i r="1">
      <x v="18"/>
    </i>
    <i r="1">
      <x v="20"/>
    </i>
    <i r="1">
      <x v="24"/>
    </i>
    <i r="1">
      <x v="27"/>
    </i>
    <i r="1">
      <x v="30"/>
    </i>
    <i r="1">
      <x v="35"/>
    </i>
    <i r="1">
      <x v="36"/>
    </i>
    <i r="1">
      <x v="38"/>
    </i>
    <i t="default">
      <x v="15"/>
    </i>
    <i>
      <x v="16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16"/>
    </i>
    <i r="1">
      <x v="21"/>
    </i>
    <i r="1">
      <x v="22"/>
    </i>
    <i r="1">
      <x v="26"/>
    </i>
    <i r="1">
      <x v="28"/>
    </i>
    <i r="1">
      <x v="29"/>
    </i>
    <i r="1">
      <x v="33"/>
    </i>
    <i r="1">
      <x v="35"/>
    </i>
    <i r="1">
      <x v="36"/>
    </i>
    <i r="1">
      <x v="38"/>
    </i>
    <i t="default">
      <x v="16"/>
    </i>
    <i>
      <x v="17"/>
      <x v="4"/>
    </i>
    <i r="1">
      <x v="7"/>
    </i>
    <i r="1">
      <x v="8"/>
    </i>
    <i r="1">
      <x v="10"/>
    </i>
    <i r="1">
      <x v="11"/>
    </i>
    <i r="1">
      <x v="13"/>
    </i>
    <i r="1">
      <x v="15"/>
    </i>
    <i r="1">
      <x v="16"/>
    </i>
    <i r="1">
      <x v="17"/>
    </i>
    <i r="1">
      <x v="20"/>
    </i>
    <i r="1">
      <x v="22"/>
    </i>
    <i r="1">
      <x v="29"/>
    </i>
    <i r="1">
      <x v="30"/>
    </i>
    <i r="1">
      <x v="31"/>
    </i>
    <i r="1">
      <x v="33"/>
    </i>
    <i r="1">
      <x v="38"/>
    </i>
    <i r="1">
      <x v="39"/>
    </i>
    <i t="default">
      <x v="17"/>
    </i>
    <i>
      <x v="18"/>
      <x v="1"/>
    </i>
    <i r="1">
      <x v="4"/>
    </i>
    <i r="1">
      <x v="5"/>
    </i>
    <i r="1">
      <x v="7"/>
    </i>
    <i r="1">
      <x v="8"/>
    </i>
    <i r="1">
      <x v="9"/>
    </i>
    <i r="1">
      <x v="13"/>
    </i>
    <i r="1">
      <x v="14"/>
    </i>
    <i r="1">
      <x v="16"/>
    </i>
    <i r="1">
      <x v="18"/>
    </i>
    <i r="1">
      <x v="20"/>
    </i>
    <i r="1">
      <x v="24"/>
    </i>
    <i r="1">
      <x v="26"/>
    </i>
    <i r="1">
      <x v="28"/>
    </i>
    <i r="1">
      <x v="33"/>
    </i>
    <i r="1">
      <x v="35"/>
    </i>
    <i r="1">
      <x v="39"/>
    </i>
    <i t="default">
      <x v="18"/>
    </i>
    <i>
      <x v="19"/>
      <x v="2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20"/>
    </i>
    <i r="1">
      <x v="23"/>
    </i>
    <i r="1">
      <x v="26"/>
    </i>
    <i r="1">
      <x v="28"/>
    </i>
    <i r="1">
      <x v="32"/>
    </i>
    <i r="1">
      <x v="35"/>
    </i>
    <i r="1">
      <x v="36"/>
    </i>
    <i t="default">
      <x v="19"/>
    </i>
    <i>
      <x v="20"/>
      <x v="5"/>
    </i>
    <i r="1">
      <x v="6"/>
    </i>
    <i r="1">
      <x v="9"/>
    </i>
    <i r="1">
      <x v="10"/>
    </i>
    <i r="1">
      <x v="12"/>
    </i>
    <i r="1">
      <x v="19"/>
    </i>
    <i r="1">
      <x v="20"/>
    </i>
    <i r="1">
      <x v="23"/>
    </i>
    <i r="1">
      <x v="26"/>
    </i>
    <i r="1">
      <x v="27"/>
    </i>
    <i r="1">
      <x v="30"/>
    </i>
    <i r="1">
      <x v="31"/>
    </i>
    <i r="1">
      <x v="32"/>
    </i>
    <i r="1">
      <x v="33"/>
    </i>
    <i r="1">
      <x v="34"/>
    </i>
    <i r="1">
      <x v="36"/>
    </i>
    <i t="default">
      <x v="20"/>
    </i>
    <i>
      <x v="21"/>
      <x v="1"/>
    </i>
    <i r="1">
      <x v="2"/>
    </i>
    <i r="1">
      <x v="8"/>
    </i>
    <i r="1">
      <x v="11"/>
    </i>
    <i r="1">
      <x v="18"/>
    </i>
    <i r="1">
      <x v="22"/>
    </i>
    <i r="1">
      <x v="23"/>
    </i>
    <i r="1">
      <x v="25"/>
    </i>
    <i r="1">
      <x v="26"/>
    </i>
    <i r="1">
      <x v="27"/>
    </i>
    <i r="1">
      <x v="30"/>
    </i>
    <i r="1">
      <x v="32"/>
    </i>
    <i r="1">
      <x v="33"/>
    </i>
    <i r="1">
      <x v="34"/>
    </i>
    <i r="1">
      <x v="37"/>
    </i>
    <i r="1">
      <x v="38"/>
    </i>
    <i t="default">
      <x v="21"/>
    </i>
    <i>
      <x v="22"/>
      <x/>
    </i>
    <i r="1">
      <x v="2"/>
    </i>
    <i r="1">
      <x v="8"/>
    </i>
    <i r="1">
      <x v="11"/>
    </i>
    <i r="1">
      <x v="15"/>
    </i>
    <i r="1">
      <x v="19"/>
    </i>
    <i r="1">
      <x v="21"/>
    </i>
    <i r="1">
      <x v="22"/>
    </i>
    <i r="1">
      <x v="25"/>
    </i>
    <i r="1">
      <x v="26"/>
    </i>
    <i r="1">
      <x v="32"/>
    </i>
    <i r="1">
      <x v="33"/>
    </i>
    <i r="1">
      <x v="36"/>
    </i>
    <i r="1">
      <x v="37"/>
    </i>
    <i r="1">
      <x v="38"/>
    </i>
    <i r="1">
      <x v="39"/>
    </i>
    <i t="default">
      <x v="22"/>
    </i>
    <i>
      <x v="23"/>
      <x v="3"/>
    </i>
    <i r="1">
      <x v="6"/>
    </i>
    <i r="1">
      <x v="10"/>
    </i>
    <i r="1">
      <x v="12"/>
    </i>
    <i r="1">
      <x v="14"/>
    </i>
    <i r="1">
      <x v="15"/>
    </i>
    <i r="1">
      <x v="18"/>
    </i>
    <i r="1">
      <x v="19"/>
    </i>
    <i r="1">
      <x v="23"/>
    </i>
    <i r="1">
      <x v="24"/>
    </i>
    <i r="1">
      <x v="26"/>
    </i>
    <i r="1">
      <x v="31"/>
    </i>
    <i r="1">
      <x v="32"/>
    </i>
    <i r="1">
      <x v="33"/>
    </i>
    <i r="1">
      <x v="34"/>
    </i>
    <i r="1">
      <x v="35"/>
    </i>
    <i t="default">
      <x v="23"/>
    </i>
    <i>
      <x v="24"/>
      <x v="3"/>
    </i>
    <i r="1">
      <x v="6"/>
    </i>
    <i r="1">
      <x v="13"/>
    </i>
    <i r="1">
      <x v="15"/>
    </i>
    <i r="1">
      <x v="17"/>
    </i>
    <i r="1">
      <x v="18"/>
    </i>
    <i r="1">
      <x v="20"/>
    </i>
    <i r="1">
      <x v="28"/>
    </i>
    <i r="1">
      <x v="31"/>
    </i>
    <i r="1">
      <x v="32"/>
    </i>
    <i t="default">
      <x v="24"/>
    </i>
    <i>
      <x v="25"/>
      <x v="1"/>
    </i>
    <i r="1">
      <x v="2"/>
    </i>
    <i r="1">
      <x v="5"/>
    </i>
    <i r="1">
      <x v="7"/>
    </i>
    <i r="1">
      <x v="12"/>
    </i>
    <i r="1">
      <x v="14"/>
    </i>
    <i r="1">
      <x v="18"/>
    </i>
    <i r="1">
      <x v="20"/>
    </i>
    <i r="1">
      <x v="22"/>
    </i>
    <i r="1">
      <x v="23"/>
    </i>
    <i r="1">
      <x v="29"/>
    </i>
    <i r="1">
      <x v="34"/>
    </i>
    <i r="1">
      <x v="35"/>
    </i>
    <i t="default">
      <x v="25"/>
    </i>
    <i>
      <x v="26"/>
      <x v="7"/>
    </i>
    <i r="1">
      <x v="11"/>
    </i>
    <i r="1">
      <x v="12"/>
    </i>
    <i r="1">
      <x v="14"/>
    </i>
    <i r="1">
      <x v="15"/>
    </i>
    <i r="1">
      <x v="20"/>
    </i>
    <i r="1">
      <x v="28"/>
    </i>
    <i r="1">
      <x v="31"/>
    </i>
    <i r="1">
      <x v="36"/>
    </i>
    <i t="default">
      <x v="26"/>
    </i>
    <i>
      <x v="27"/>
      <x v="12"/>
    </i>
    <i r="1">
      <x v="15"/>
    </i>
    <i r="1">
      <x v="16"/>
    </i>
    <i r="1">
      <x v="24"/>
    </i>
    <i r="1">
      <x v="25"/>
    </i>
    <i r="1">
      <x v="28"/>
    </i>
    <i r="1">
      <x v="29"/>
    </i>
    <i r="1">
      <x v="30"/>
    </i>
    <i r="1">
      <x v="31"/>
    </i>
    <i r="1">
      <x v="34"/>
    </i>
    <i r="1">
      <x v="35"/>
    </i>
    <i r="1">
      <x v="36"/>
    </i>
    <i r="1">
      <x v="37"/>
    </i>
    <i t="default">
      <x v="27"/>
    </i>
    <i>
      <x v="28"/>
      <x v="2"/>
    </i>
    <i r="1">
      <x v="8"/>
    </i>
    <i r="1">
      <x v="9"/>
    </i>
    <i r="1">
      <x v="10"/>
    </i>
    <i r="1">
      <x v="14"/>
    </i>
    <i r="1">
      <x v="15"/>
    </i>
    <i r="1">
      <x v="19"/>
    </i>
    <i r="1">
      <x v="21"/>
    </i>
    <i r="1">
      <x v="24"/>
    </i>
    <i r="1">
      <x v="25"/>
    </i>
    <i r="1">
      <x v="29"/>
    </i>
    <i r="1">
      <x v="30"/>
    </i>
    <i r="1">
      <x v="35"/>
    </i>
    <i r="1">
      <x v="36"/>
    </i>
    <i r="1">
      <x v="38"/>
    </i>
    <i r="1">
      <x v="39"/>
    </i>
    <i t="default">
      <x v="28"/>
    </i>
    <i>
      <x v="29"/>
      <x v="1"/>
    </i>
    <i r="1">
      <x v="2"/>
    </i>
    <i r="1">
      <x v="4"/>
    </i>
    <i r="1">
      <x v="6"/>
    </i>
    <i r="1">
      <x v="7"/>
    </i>
    <i r="1">
      <x v="11"/>
    </i>
    <i r="1">
      <x v="15"/>
    </i>
    <i r="1">
      <x v="16"/>
    </i>
    <i r="1">
      <x v="25"/>
    </i>
    <i r="1">
      <x v="27"/>
    </i>
    <i r="1">
      <x v="29"/>
    </i>
    <i r="1">
      <x v="34"/>
    </i>
    <i r="1">
      <x v="36"/>
    </i>
    <i r="1">
      <x v="39"/>
    </i>
    <i t="default">
      <x v="29"/>
    </i>
    <i t="grand">
      <x/>
    </i>
  </rowItems>
  <colItems count="1">
    <i/>
  </colItems>
  <dataFields count="1">
    <dataField name="Sum of amount_inr" fld="4" baseField="0" baseItem="0"/>
  </dataFields>
  <formats count="16">
    <format dxfId="0">
      <pivotArea type="all" dataOnly="0" outline="0" fieldPosition="0"/>
    </format>
    <format dxfId="1">
      <pivotArea type="all" dataOnly="0" outline="0" fieldPosition="0"/>
    </format>
    <format dxfId="2">
      <pivotArea field="12" type="button" dataOnly="0" labelOnly="1" outline="0" fieldPosition="0"/>
    </format>
    <format dxfId="3">
      <pivotArea field="8" type="button" dataOnly="0" labelOnly="1" outline="0" fieldPosition="0"/>
    </format>
    <format dxfId="4">
      <pivotArea field="12" type="button" dataOnly="0" labelOnly="1" outline="0" fieldPosition="0"/>
    </format>
    <format dxfId="5">
      <pivotArea field="8" type="button" dataOnly="0" labelOnly="1" outline="0" fieldPosition="0"/>
    </format>
    <format dxfId="6">
      <pivotArea collapsedLevelsAreSubtotals="1" fieldPosition="0"/>
    </format>
    <format dxfId="7">
      <pivotArea collapsedLevelsAreSubtotals="1" fieldPosition="0"/>
    </format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  <format dxfId="12">
      <pivotArea collapsedLevelsAreSubtotals="1" fieldPosition="0"/>
    </format>
    <format dxfId="13">
      <pivotArea field="12" type="button" dataOnly="0" labelOnly="1" outline="0" fieldPosition="0"/>
    </format>
    <format dxfId="14">
      <pivotArea field="8" type="button" dataOnly="0" labelOnly="1" outline="0" fieldPosition="0"/>
    </format>
    <format dxfId="15">
      <pivotArea dataOnly="0" labelOnly="1" fieldPosition="0">
        <references count="1">
          <reference field="4294967294" count="1">
            <x v="0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3:R46" firstHeaderRow="1" firstDataRow="3" firstDataCol="1"/>
  <pivotFields count="16">
    <pivotField dataField="1" compact="0" showAll="0">
      <items count="5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compact="0" showAll="0"/>
    <pivotField axis="axisRow" compact="0" sortType="descending" showAll="0">
      <items count="41"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  <autoSortScope>
        <pivotArea fieldPosition="0">
          <references count="1">
            <reference field="4294967294" count="1" selected="0">
              <x v="2"/>
            </reference>
          </references>
        </pivotArea>
      </autoSortScope>
    </pivotField>
    <pivotField compact="0" numFmtId="22" showAll="0"/>
    <pivotField dataField="1" compact="0" showAll="0">
      <items count="13">
        <item x="1"/>
        <item x="3"/>
        <item x="7"/>
        <item x="5"/>
        <item x="11"/>
        <item x="6"/>
        <item x="4"/>
        <item x="10"/>
        <item x="2"/>
        <item x="9"/>
        <item x="0"/>
        <item x="8"/>
        <item t="default"/>
      </items>
    </pivotField>
    <pivotField compact="0" showAll="0"/>
    <pivotField axis="axisCol" measureFilter="1" compact="0" showAll="0">
      <items count="4">
        <item x="0"/>
        <item x="2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numFmtId="10" showAll="0"/>
    <pivotField dataField="1" compact="0" numFmtId="176" showAll="0">
      <items count="31">
        <item x="9"/>
        <item x="22"/>
        <item x="29"/>
        <item x="1"/>
        <item x="14"/>
        <item x="4"/>
        <item x="25"/>
        <item x="5"/>
        <item x="10"/>
        <item x="27"/>
        <item x="7"/>
        <item x="28"/>
        <item x="11"/>
        <item x="12"/>
        <item x="17"/>
        <item x="24"/>
        <item x="18"/>
        <item x="15"/>
        <item x="23"/>
        <item x="26"/>
        <item x="8"/>
        <item x="13"/>
        <item x="20"/>
        <item x="2"/>
        <item x="21"/>
        <item x="16"/>
        <item x="6"/>
        <item x="19"/>
        <item x="0"/>
        <item x="3"/>
        <item t="default"/>
      </items>
    </pivotField>
    <pivotField compact="0" showAll="0"/>
    <pivotField compact="0" showAll="0"/>
    <pivotField compact="0" showAll="0"/>
  </pivotFields>
  <rowFields count="1">
    <field x="2"/>
  </rowFields>
  <rowItems count="41">
    <i>
      <x v="38"/>
    </i>
    <i>
      <x v="12"/>
    </i>
    <i>
      <x v="6"/>
    </i>
    <i>
      <x v="24"/>
    </i>
    <i>
      <x v="26"/>
    </i>
    <i>
      <x v="9"/>
    </i>
    <i>
      <x v="28"/>
    </i>
    <i>
      <x v="16"/>
    </i>
    <i>
      <x v="36"/>
    </i>
    <i>
      <x v="18"/>
    </i>
    <i>
      <x v="35"/>
    </i>
    <i>
      <x v="21"/>
    </i>
    <i>
      <x v="15"/>
    </i>
    <i>
      <x v="10"/>
    </i>
    <i>
      <x/>
    </i>
    <i>
      <x v="11"/>
    </i>
    <i>
      <x v="32"/>
    </i>
    <i>
      <x v="33"/>
    </i>
    <i>
      <x v="27"/>
    </i>
    <i>
      <x v="34"/>
    </i>
    <i>
      <x v="20"/>
    </i>
    <i>
      <x v="39"/>
    </i>
    <i>
      <x v="2"/>
    </i>
    <i>
      <x v="31"/>
    </i>
    <i>
      <x v="29"/>
    </i>
    <i>
      <x v="14"/>
    </i>
    <i>
      <x v="5"/>
    </i>
    <i>
      <x v="7"/>
    </i>
    <i>
      <x v="17"/>
    </i>
    <i>
      <x v="3"/>
    </i>
    <i>
      <x v="13"/>
    </i>
    <i>
      <x v="4"/>
    </i>
    <i>
      <x v="25"/>
    </i>
    <i>
      <x v="8"/>
    </i>
    <i>
      <x v="30"/>
    </i>
    <i>
      <x v="19"/>
    </i>
    <i>
      <x v="37"/>
    </i>
    <i>
      <x v="1"/>
    </i>
    <i>
      <x v="23"/>
    </i>
    <i>
      <x v="22"/>
    </i>
    <i t="grand">
      <x/>
    </i>
  </rowItems>
  <colFields count="2">
    <field x="6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Distinct Count of Date" fld="12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  <dataField name="Count of transaction_id" fld="0" subtotal="count" baseField="0" baseItem="0"/>
    <dataField name="Sum of amount_inr" fld="4" baseField="0" baseItem="0"/>
  </dataFields>
  <formats count="239">
    <format dxfId="16">
      <pivotArea type="origin" dataOnly="0" labelOnly="1" outline="0" offset="F3:F3" fieldPosition="0"/>
    </format>
    <format dxfId="17">
      <pivotArea field="6" type="button" dataOnly="0" labelOnly="1" outline="0" fieldPosition="0"/>
    </format>
    <format dxfId="18">
      <pivotArea field="-2" type="button" dataOnly="0" labelOnly="1" outline="0" fieldPosition="0"/>
    </format>
    <format dxfId="19">
      <pivotArea dataOnly="0" labelOnly="1" fieldPosition="0">
        <references count="1">
          <reference field="2" count="1">
            <x v="0"/>
          </reference>
        </references>
      </pivotArea>
    </format>
    <format dxfId="20">
      <pivotArea collapsedLevelsAreSubtotals="1" fieldPosition="0">
        <references count="1">
          <reference field="2" count="1" selected="0">
            <x v="0"/>
          </reference>
        </references>
      </pivotArea>
    </format>
    <format dxfId="21">
      <pivotArea type="origin" dataOnly="0" labelOnly="1" outline="0" fieldPosition="0"/>
    </format>
    <format dxfId="22">
      <pivotArea field="2" type="button" dataOnly="0" labelOnly="1" outline="0" fieldPosition="0"/>
    </format>
    <format dxfId="23">
      <pivotArea dataOnly="0" labelOnly="1" fieldPosition="0">
        <references count="1">
          <reference field="2" count="1">
            <x v="0"/>
          </reference>
        </references>
      </pivotArea>
    </format>
    <format dxfId="24">
      <pivotArea dataOnly="0" labelOnly="1" fieldPosition="0">
        <references count="1">
          <reference field="2" count="1">
            <x v="1"/>
          </reference>
        </references>
      </pivotArea>
    </format>
    <format dxfId="25">
      <pivotArea dataOnly="0" labelOnly="1" fieldPosition="0">
        <references count="1">
          <reference field="2" count="1">
            <x v="2"/>
          </reference>
        </references>
      </pivotArea>
    </format>
    <format dxfId="26">
      <pivotArea dataOnly="0" labelOnly="1" fieldPosition="0">
        <references count="1">
          <reference field="2" count="1">
            <x v="3"/>
          </reference>
        </references>
      </pivotArea>
    </format>
    <format dxfId="27">
      <pivotArea dataOnly="0" labelOnly="1" fieldPosition="0">
        <references count="1">
          <reference field="2" count="1">
            <x v="4"/>
          </reference>
        </references>
      </pivotArea>
    </format>
    <format dxfId="28">
      <pivotArea dataOnly="0" labelOnly="1" fieldPosition="0">
        <references count="1">
          <reference field="2" count="1">
            <x v="5"/>
          </reference>
        </references>
      </pivotArea>
    </format>
    <format dxfId="29">
      <pivotArea dataOnly="0" labelOnly="1" fieldPosition="0">
        <references count="1">
          <reference field="2" count="1">
            <x v="6"/>
          </reference>
        </references>
      </pivotArea>
    </format>
    <format dxfId="30">
      <pivotArea dataOnly="0" labelOnly="1" fieldPosition="0">
        <references count="1">
          <reference field="2" count="1">
            <x v="7"/>
          </reference>
        </references>
      </pivotArea>
    </format>
    <format dxfId="31">
      <pivotArea dataOnly="0" labelOnly="1" fieldPosition="0">
        <references count="1">
          <reference field="2" count="1">
            <x v="8"/>
          </reference>
        </references>
      </pivotArea>
    </format>
    <format dxfId="32">
      <pivotArea dataOnly="0" labelOnly="1" fieldPosition="0">
        <references count="1">
          <reference field="2" count="1">
            <x v="9"/>
          </reference>
        </references>
      </pivotArea>
    </format>
    <format dxfId="33">
      <pivotArea dataOnly="0" labelOnly="1" fieldPosition="0">
        <references count="1">
          <reference field="2" count="1">
            <x v="10"/>
          </reference>
        </references>
      </pivotArea>
    </format>
    <format dxfId="34">
      <pivotArea dataOnly="0" labelOnly="1" fieldPosition="0">
        <references count="1">
          <reference field="2" count="1">
            <x v="11"/>
          </reference>
        </references>
      </pivotArea>
    </format>
    <format dxfId="35">
      <pivotArea dataOnly="0" labelOnly="1" fieldPosition="0">
        <references count="1">
          <reference field="2" count="1">
            <x v="12"/>
          </reference>
        </references>
      </pivotArea>
    </format>
    <format dxfId="36">
      <pivotArea dataOnly="0" labelOnly="1" fieldPosition="0">
        <references count="1">
          <reference field="2" count="1">
            <x v="13"/>
          </reference>
        </references>
      </pivotArea>
    </format>
    <format dxfId="37">
      <pivotArea dataOnly="0" labelOnly="1" fieldPosition="0">
        <references count="1">
          <reference field="2" count="1">
            <x v="14"/>
          </reference>
        </references>
      </pivotArea>
    </format>
    <format dxfId="38">
      <pivotArea dataOnly="0" labelOnly="1" fieldPosition="0">
        <references count="1">
          <reference field="2" count="1">
            <x v="15"/>
          </reference>
        </references>
      </pivotArea>
    </format>
    <format dxfId="39">
      <pivotArea dataOnly="0" labelOnly="1" fieldPosition="0">
        <references count="1">
          <reference field="2" count="1">
            <x v="16"/>
          </reference>
        </references>
      </pivotArea>
    </format>
    <format dxfId="40">
      <pivotArea dataOnly="0" labelOnly="1" fieldPosition="0">
        <references count="1">
          <reference field="2" count="1">
            <x v="17"/>
          </reference>
        </references>
      </pivotArea>
    </format>
    <format dxfId="41">
      <pivotArea dataOnly="0" labelOnly="1" fieldPosition="0">
        <references count="1">
          <reference field="2" count="1">
            <x v="18"/>
          </reference>
        </references>
      </pivotArea>
    </format>
    <format dxfId="42">
      <pivotArea dataOnly="0" labelOnly="1" fieldPosition="0">
        <references count="1">
          <reference field="2" count="1">
            <x v="19"/>
          </reference>
        </references>
      </pivotArea>
    </format>
    <format dxfId="43">
      <pivotArea dataOnly="0" labelOnly="1" fieldPosition="0">
        <references count="1">
          <reference field="2" count="1">
            <x v="20"/>
          </reference>
        </references>
      </pivotArea>
    </format>
    <format dxfId="44">
      <pivotArea dataOnly="0" labelOnly="1" fieldPosition="0">
        <references count="1">
          <reference field="2" count="1">
            <x v="21"/>
          </reference>
        </references>
      </pivotArea>
    </format>
    <format dxfId="45">
      <pivotArea dataOnly="0" labelOnly="1" fieldPosition="0">
        <references count="1">
          <reference field="2" count="1">
            <x v="22"/>
          </reference>
        </references>
      </pivotArea>
    </format>
    <format dxfId="46">
      <pivotArea dataOnly="0" labelOnly="1" fieldPosition="0">
        <references count="1">
          <reference field="2" count="1">
            <x v="23"/>
          </reference>
        </references>
      </pivotArea>
    </format>
    <format dxfId="47">
      <pivotArea dataOnly="0" labelOnly="1" fieldPosition="0">
        <references count="1">
          <reference field="2" count="1">
            <x v="24"/>
          </reference>
        </references>
      </pivotArea>
    </format>
    <format dxfId="48">
      <pivotArea dataOnly="0" labelOnly="1" fieldPosition="0">
        <references count="1">
          <reference field="2" count="1">
            <x v="25"/>
          </reference>
        </references>
      </pivotArea>
    </format>
    <format dxfId="49">
      <pivotArea dataOnly="0" labelOnly="1" fieldPosition="0">
        <references count="1">
          <reference field="2" count="1">
            <x v="26"/>
          </reference>
        </references>
      </pivotArea>
    </format>
    <format dxfId="50">
      <pivotArea dataOnly="0" labelOnly="1" fieldPosition="0">
        <references count="1">
          <reference field="2" count="1">
            <x v="27"/>
          </reference>
        </references>
      </pivotArea>
    </format>
    <format dxfId="51">
      <pivotArea dataOnly="0" labelOnly="1" fieldPosition="0">
        <references count="1">
          <reference field="2" count="1">
            <x v="28"/>
          </reference>
        </references>
      </pivotArea>
    </format>
    <format dxfId="52">
      <pivotArea dataOnly="0" labelOnly="1" fieldPosition="0">
        <references count="1">
          <reference field="2" count="1">
            <x v="29"/>
          </reference>
        </references>
      </pivotArea>
    </format>
    <format dxfId="53">
      <pivotArea dataOnly="0" labelOnly="1" fieldPosition="0">
        <references count="1">
          <reference field="2" count="1">
            <x v="30"/>
          </reference>
        </references>
      </pivotArea>
    </format>
    <format dxfId="54">
      <pivotArea dataOnly="0" labelOnly="1" fieldPosition="0">
        <references count="1">
          <reference field="2" count="1">
            <x v="31"/>
          </reference>
        </references>
      </pivotArea>
    </format>
    <format dxfId="55">
      <pivotArea dataOnly="0" labelOnly="1" fieldPosition="0">
        <references count="1">
          <reference field="2" count="1">
            <x v="32"/>
          </reference>
        </references>
      </pivotArea>
    </format>
    <format dxfId="56">
      <pivotArea dataOnly="0" labelOnly="1" fieldPosition="0">
        <references count="1">
          <reference field="2" count="1">
            <x v="33"/>
          </reference>
        </references>
      </pivotArea>
    </format>
    <format dxfId="57">
      <pivotArea dataOnly="0" labelOnly="1" fieldPosition="0">
        <references count="1">
          <reference field="2" count="1">
            <x v="34"/>
          </reference>
        </references>
      </pivotArea>
    </format>
    <format dxfId="58">
      <pivotArea dataOnly="0" labelOnly="1" fieldPosition="0">
        <references count="1">
          <reference field="2" count="1">
            <x v="35"/>
          </reference>
        </references>
      </pivotArea>
    </format>
    <format dxfId="59">
      <pivotArea dataOnly="0" labelOnly="1" fieldPosition="0">
        <references count="1">
          <reference field="2" count="1">
            <x v="36"/>
          </reference>
        </references>
      </pivotArea>
    </format>
    <format dxfId="60">
      <pivotArea dataOnly="0" labelOnly="1" fieldPosition="0">
        <references count="1">
          <reference field="2" count="1">
            <x v="37"/>
          </reference>
        </references>
      </pivotArea>
    </format>
    <format dxfId="61">
      <pivotArea dataOnly="0" labelOnly="1" fieldPosition="0">
        <references count="1">
          <reference field="2" count="1">
            <x v="38"/>
          </reference>
        </references>
      </pivotArea>
    </format>
    <format dxfId="62">
      <pivotArea dataOnly="0" labelOnly="1" fieldPosition="0">
        <references count="1">
          <reference field="2" count="1">
            <x v="39"/>
          </reference>
        </references>
      </pivotArea>
    </format>
    <format dxfId="63">
      <pivotArea dataOnly="0" labelOnly="1" grandRow="1" fieldPosition="0"/>
    </format>
    <format dxfId="64">
      <pivotArea dataOnly="0" labelOnly="1" offset="A256:A256" fieldPosition="0">
        <references count="1">
          <reference field="6" count="1">
            <x v="1"/>
          </reference>
        </references>
      </pivotArea>
    </format>
    <format dxfId="65">
      <pivotArea dataOnly="0" labelOnly="1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66">
      <pivotArea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67">
      <pivotArea dataOnly="0" labelOnly="1" offset="A256:A256" fieldPosition="0">
        <references count="1">
          <reference field="6" count="1">
            <x v="2"/>
          </reference>
        </references>
      </pivotArea>
    </format>
    <format dxfId="68">
      <pivotArea dataOnly="0" labelOnly="1" fieldPosition="0">
        <references count="2">
          <reference field="4294967294" count="1">
            <x v="0"/>
          </reference>
          <reference field="6" count="1" selected="0">
            <x v="2"/>
          </reference>
        </references>
      </pivotArea>
    </format>
    <format dxfId="69">
      <pivotArea collapsedLevelsAreSubtotals="1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format>
    <format dxfId="70">
      <pivotArea dataOnly="0" labelOnly="1" grandCol="1" fieldPosition="0">
        <references count="1">
          <reference field="4294967294" count="1" selected="0">
            <x v="0"/>
          </reference>
        </references>
      </pivotArea>
    </format>
    <format dxfId="71">
      <pivotArea grandCol="1" collapsedLevelsAreSubtotals="1" fieldPosition="0">
        <references count="1">
          <reference field="4294967294" count="1" selected="0">
            <x v="0"/>
          </reference>
        </references>
      </pivotArea>
    </format>
    <format dxfId="72">
      <pivotArea dataOnly="0" labelOnly="1" fieldPosition="0">
        <references count="1">
          <reference field="2" count="1">
            <x v="0"/>
          </reference>
        </references>
      </pivotArea>
    </format>
    <format dxfId="73">
      <pivotArea dataOnly="0" labelOnly="1" fieldPosition="0">
        <references count="1">
          <reference field="2" count="1">
            <x v="1"/>
          </reference>
        </references>
      </pivotArea>
    </format>
    <format dxfId="74">
      <pivotArea dataOnly="0" labelOnly="1" fieldPosition="0">
        <references count="1">
          <reference field="2" count="1">
            <x v="2"/>
          </reference>
        </references>
      </pivotArea>
    </format>
    <format dxfId="75">
      <pivotArea dataOnly="0" labelOnly="1" fieldPosition="0">
        <references count="1">
          <reference field="2" count="1">
            <x v="3"/>
          </reference>
        </references>
      </pivotArea>
    </format>
    <format dxfId="76">
      <pivotArea dataOnly="0" labelOnly="1" fieldPosition="0">
        <references count="1">
          <reference field="2" count="1">
            <x v="4"/>
          </reference>
        </references>
      </pivotArea>
    </format>
    <format dxfId="77">
      <pivotArea dataOnly="0" labelOnly="1" fieldPosition="0">
        <references count="1">
          <reference field="2" count="1">
            <x v="5"/>
          </reference>
        </references>
      </pivotArea>
    </format>
    <format dxfId="78">
      <pivotArea dataOnly="0" labelOnly="1" fieldPosition="0">
        <references count="1">
          <reference field="2" count="1">
            <x v="6"/>
          </reference>
        </references>
      </pivotArea>
    </format>
    <format dxfId="79">
      <pivotArea dataOnly="0" labelOnly="1" fieldPosition="0">
        <references count="1">
          <reference field="2" count="1">
            <x v="7"/>
          </reference>
        </references>
      </pivotArea>
    </format>
    <format dxfId="80">
      <pivotArea dataOnly="0" labelOnly="1" fieldPosition="0">
        <references count="1">
          <reference field="2" count="1">
            <x v="8"/>
          </reference>
        </references>
      </pivotArea>
    </format>
    <format dxfId="81">
      <pivotArea dataOnly="0" labelOnly="1" fieldPosition="0">
        <references count="1">
          <reference field="2" count="1">
            <x v="9"/>
          </reference>
        </references>
      </pivotArea>
    </format>
    <format dxfId="82">
      <pivotArea dataOnly="0" labelOnly="1" fieldPosition="0">
        <references count="1">
          <reference field="2" count="1">
            <x v="10"/>
          </reference>
        </references>
      </pivotArea>
    </format>
    <format dxfId="83">
      <pivotArea dataOnly="0" labelOnly="1" fieldPosition="0">
        <references count="1">
          <reference field="2" count="1">
            <x v="11"/>
          </reference>
        </references>
      </pivotArea>
    </format>
    <format dxfId="84">
      <pivotArea dataOnly="0" labelOnly="1" fieldPosition="0">
        <references count="1">
          <reference field="2" count="1">
            <x v="12"/>
          </reference>
        </references>
      </pivotArea>
    </format>
    <format dxfId="85">
      <pivotArea dataOnly="0" labelOnly="1" fieldPosition="0">
        <references count="1">
          <reference field="2" count="1">
            <x v="13"/>
          </reference>
        </references>
      </pivotArea>
    </format>
    <format dxfId="86">
      <pivotArea dataOnly="0" labelOnly="1" fieldPosition="0">
        <references count="1">
          <reference field="2" count="1">
            <x v="14"/>
          </reference>
        </references>
      </pivotArea>
    </format>
    <format dxfId="87">
      <pivotArea dataOnly="0" labelOnly="1" fieldPosition="0">
        <references count="1">
          <reference field="2" count="1">
            <x v="15"/>
          </reference>
        </references>
      </pivotArea>
    </format>
    <format dxfId="88">
      <pivotArea dataOnly="0" labelOnly="1" fieldPosition="0">
        <references count="1">
          <reference field="2" count="1">
            <x v="16"/>
          </reference>
        </references>
      </pivotArea>
    </format>
    <format dxfId="89">
      <pivotArea dataOnly="0" labelOnly="1" fieldPosition="0">
        <references count="1">
          <reference field="2" count="1">
            <x v="17"/>
          </reference>
        </references>
      </pivotArea>
    </format>
    <format dxfId="90">
      <pivotArea dataOnly="0" labelOnly="1" fieldPosition="0">
        <references count="1">
          <reference field="2" count="1">
            <x v="18"/>
          </reference>
        </references>
      </pivotArea>
    </format>
    <format dxfId="91">
      <pivotArea dataOnly="0" labelOnly="1" fieldPosition="0">
        <references count="1">
          <reference field="2" count="1">
            <x v="19"/>
          </reference>
        </references>
      </pivotArea>
    </format>
    <format dxfId="92">
      <pivotArea dataOnly="0" labelOnly="1" fieldPosition="0">
        <references count="1">
          <reference field="2" count="1">
            <x v="20"/>
          </reference>
        </references>
      </pivotArea>
    </format>
    <format dxfId="93">
      <pivotArea dataOnly="0" labelOnly="1" fieldPosition="0">
        <references count="1">
          <reference field="2" count="1">
            <x v="21"/>
          </reference>
        </references>
      </pivotArea>
    </format>
    <format dxfId="94">
      <pivotArea dataOnly="0" labelOnly="1" fieldPosition="0">
        <references count="1">
          <reference field="2" count="1">
            <x v="22"/>
          </reference>
        </references>
      </pivotArea>
    </format>
    <format dxfId="95">
      <pivotArea dataOnly="0" labelOnly="1" fieldPosition="0">
        <references count="1">
          <reference field="2" count="1">
            <x v="23"/>
          </reference>
        </references>
      </pivotArea>
    </format>
    <format dxfId="96">
      <pivotArea dataOnly="0" labelOnly="1" fieldPosition="0">
        <references count="1">
          <reference field="2" count="1">
            <x v="24"/>
          </reference>
        </references>
      </pivotArea>
    </format>
    <format dxfId="97">
      <pivotArea dataOnly="0" labelOnly="1" fieldPosition="0">
        <references count="1">
          <reference field="2" count="1">
            <x v="25"/>
          </reference>
        </references>
      </pivotArea>
    </format>
    <format dxfId="98">
      <pivotArea dataOnly="0" labelOnly="1" fieldPosition="0">
        <references count="1">
          <reference field="2" count="1">
            <x v="26"/>
          </reference>
        </references>
      </pivotArea>
    </format>
    <format dxfId="99">
      <pivotArea dataOnly="0" labelOnly="1" fieldPosition="0">
        <references count="1">
          <reference field="2" count="1">
            <x v="27"/>
          </reference>
        </references>
      </pivotArea>
    </format>
    <format dxfId="100">
      <pivotArea dataOnly="0" labelOnly="1" fieldPosition="0">
        <references count="1">
          <reference field="2" count="1">
            <x v="28"/>
          </reference>
        </references>
      </pivotArea>
    </format>
    <format dxfId="101">
      <pivotArea dataOnly="0" labelOnly="1" fieldPosition="0">
        <references count="1">
          <reference field="2" count="1">
            <x v="29"/>
          </reference>
        </references>
      </pivotArea>
    </format>
    <format dxfId="102">
      <pivotArea dataOnly="0" labelOnly="1" fieldPosition="0">
        <references count="1">
          <reference field="2" count="1">
            <x v="30"/>
          </reference>
        </references>
      </pivotArea>
    </format>
    <format dxfId="103">
      <pivotArea dataOnly="0" labelOnly="1" fieldPosition="0">
        <references count="1">
          <reference field="2" count="1">
            <x v="31"/>
          </reference>
        </references>
      </pivotArea>
    </format>
    <format dxfId="104">
      <pivotArea dataOnly="0" labelOnly="1" fieldPosition="0">
        <references count="1">
          <reference field="2" count="1">
            <x v="32"/>
          </reference>
        </references>
      </pivotArea>
    </format>
    <format dxfId="105">
      <pivotArea dataOnly="0" labelOnly="1" fieldPosition="0">
        <references count="1">
          <reference field="2" count="1">
            <x v="33"/>
          </reference>
        </references>
      </pivotArea>
    </format>
    <format dxfId="106">
      <pivotArea dataOnly="0" labelOnly="1" fieldPosition="0">
        <references count="1">
          <reference field="2" count="1">
            <x v="34"/>
          </reference>
        </references>
      </pivotArea>
    </format>
    <format dxfId="107">
      <pivotArea dataOnly="0" labelOnly="1" fieldPosition="0">
        <references count="1">
          <reference field="2" count="1">
            <x v="35"/>
          </reference>
        </references>
      </pivotArea>
    </format>
    <format dxfId="108">
      <pivotArea dataOnly="0" labelOnly="1" fieldPosition="0">
        <references count="1">
          <reference field="2" count="1">
            <x v="36"/>
          </reference>
        </references>
      </pivotArea>
    </format>
    <format dxfId="109">
      <pivotArea dataOnly="0" labelOnly="1" fieldPosition="0">
        <references count="1">
          <reference field="2" count="1">
            <x v="37"/>
          </reference>
        </references>
      </pivotArea>
    </format>
    <format dxfId="110">
      <pivotArea dataOnly="0" labelOnly="1" fieldPosition="0">
        <references count="1">
          <reference field="2" count="1">
            <x v="38"/>
          </reference>
        </references>
      </pivotArea>
    </format>
    <format dxfId="111">
      <pivotArea dataOnly="0" labelOnly="1" fieldPosition="0">
        <references count="1">
          <reference field="2" count="1">
            <x v="39"/>
          </reference>
        </references>
      </pivotArea>
    </format>
    <format dxfId="112">
      <pivotArea collapsedLevelsAreSubtotals="1" fieldPosition="0">
        <references count="1">
          <reference field="2" count="1" selected="0">
            <x v="0"/>
          </reference>
        </references>
      </pivotArea>
    </format>
    <format dxfId="113">
      <pivotArea collapsedLevelsAreSubtotals="1" fieldPosition="0">
        <references count="1">
          <reference field="2" count="1" selected="0">
            <x v="1"/>
          </reference>
        </references>
      </pivotArea>
    </format>
    <format dxfId="114">
      <pivotArea collapsedLevelsAreSubtotals="1" fieldPosition="0">
        <references count="1">
          <reference field="2" count="1" selected="0">
            <x v="2"/>
          </reference>
        </references>
      </pivotArea>
    </format>
    <format dxfId="115">
      <pivotArea collapsedLevelsAreSubtotals="1" fieldPosition="0">
        <references count="1">
          <reference field="2" count="1" selected="0">
            <x v="3"/>
          </reference>
        </references>
      </pivotArea>
    </format>
    <format dxfId="116">
      <pivotArea collapsedLevelsAreSubtotals="1" fieldPosition="0">
        <references count="1">
          <reference field="2" count="1" selected="0">
            <x v="4"/>
          </reference>
        </references>
      </pivotArea>
    </format>
    <format dxfId="117">
      <pivotArea collapsedLevelsAreSubtotals="1" fieldPosition="0">
        <references count="1">
          <reference field="2" count="1" selected="0">
            <x v="5"/>
          </reference>
        </references>
      </pivotArea>
    </format>
    <format dxfId="118">
      <pivotArea collapsedLevelsAreSubtotals="1" fieldPosition="0">
        <references count="1">
          <reference field="2" count="1" selected="0">
            <x v="6"/>
          </reference>
        </references>
      </pivotArea>
    </format>
    <format dxfId="119">
      <pivotArea collapsedLevelsAreSubtotals="1" fieldPosition="0">
        <references count="1">
          <reference field="2" count="1" selected="0">
            <x v="7"/>
          </reference>
        </references>
      </pivotArea>
    </format>
    <format dxfId="120">
      <pivotArea collapsedLevelsAreSubtotals="1" fieldPosition="0">
        <references count="1">
          <reference field="2" count="1" selected="0">
            <x v="8"/>
          </reference>
        </references>
      </pivotArea>
    </format>
    <format dxfId="121">
      <pivotArea collapsedLevelsAreSubtotals="1" fieldPosition="0">
        <references count="1">
          <reference field="2" count="1" selected="0">
            <x v="9"/>
          </reference>
        </references>
      </pivotArea>
    </format>
    <format dxfId="122">
      <pivotArea collapsedLevelsAreSubtotals="1" fieldPosition="0">
        <references count="1">
          <reference field="2" count="1" selected="0">
            <x v="10"/>
          </reference>
        </references>
      </pivotArea>
    </format>
    <format dxfId="123">
      <pivotArea collapsedLevelsAreSubtotals="1" fieldPosition="0">
        <references count="1">
          <reference field="2" count="1" selected="0">
            <x v="11"/>
          </reference>
        </references>
      </pivotArea>
    </format>
    <format dxfId="124">
      <pivotArea collapsedLevelsAreSubtotals="1" fieldPosition="0">
        <references count="1">
          <reference field="2" count="1" selected="0">
            <x v="12"/>
          </reference>
        </references>
      </pivotArea>
    </format>
    <format dxfId="125">
      <pivotArea collapsedLevelsAreSubtotals="1" fieldPosition="0">
        <references count="1">
          <reference field="2" count="1" selected="0">
            <x v="13"/>
          </reference>
        </references>
      </pivotArea>
    </format>
    <format dxfId="126">
      <pivotArea collapsedLevelsAreSubtotals="1" fieldPosition="0">
        <references count="1">
          <reference field="2" count="1" selected="0">
            <x v="14"/>
          </reference>
        </references>
      </pivotArea>
    </format>
    <format dxfId="127">
      <pivotArea collapsedLevelsAreSubtotals="1" fieldPosition="0">
        <references count="1">
          <reference field="2" count="1" selected="0">
            <x v="15"/>
          </reference>
        </references>
      </pivotArea>
    </format>
    <format dxfId="128">
      <pivotArea collapsedLevelsAreSubtotals="1" fieldPosition="0">
        <references count="1">
          <reference field="2" count="1" selected="0">
            <x v="16"/>
          </reference>
        </references>
      </pivotArea>
    </format>
    <format dxfId="129">
      <pivotArea collapsedLevelsAreSubtotals="1" fieldPosition="0">
        <references count="1">
          <reference field="2" count="1" selected="0">
            <x v="17"/>
          </reference>
        </references>
      </pivotArea>
    </format>
    <format dxfId="130">
      <pivotArea collapsedLevelsAreSubtotals="1" fieldPosition="0">
        <references count="1">
          <reference field="2" count="1" selected="0">
            <x v="18"/>
          </reference>
        </references>
      </pivotArea>
    </format>
    <format dxfId="131">
      <pivotArea collapsedLevelsAreSubtotals="1" fieldPosition="0">
        <references count="1">
          <reference field="2" count="1" selected="0">
            <x v="19"/>
          </reference>
        </references>
      </pivotArea>
    </format>
    <format dxfId="132">
      <pivotArea collapsedLevelsAreSubtotals="1" fieldPosition="0">
        <references count="1">
          <reference field="2" count="1" selected="0">
            <x v="20"/>
          </reference>
        </references>
      </pivotArea>
    </format>
    <format dxfId="133">
      <pivotArea collapsedLevelsAreSubtotals="1" fieldPosition="0">
        <references count="1">
          <reference field="2" count="1" selected="0">
            <x v="21"/>
          </reference>
        </references>
      </pivotArea>
    </format>
    <format dxfId="134">
      <pivotArea collapsedLevelsAreSubtotals="1" fieldPosition="0">
        <references count="1">
          <reference field="2" count="1" selected="0">
            <x v="22"/>
          </reference>
        </references>
      </pivotArea>
    </format>
    <format dxfId="135">
      <pivotArea collapsedLevelsAreSubtotals="1" fieldPosition="0">
        <references count="1">
          <reference field="2" count="1" selected="0">
            <x v="23"/>
          </reference>
        </references>
      </pivotArea>
    </format>
    <format dxfId="136">
      <pivotArea collapsedLevelsAreSubtotals="1" fieldPosition="0">
        <references count="1">
          <reference field="2" count="1" selected="0">
            <x v="24"/>
          </reference>
        </references>
      </pivotArea>
    </format>
    <format dxfId="137">
      <pivotArea collapsedLevelsAreSubtotals="1" fieldPosition="0">
        <references count="1">
          <reference field="2" count="1" selected="0">
            <x v="25"/>
          </reference>
        </references>
      </pivotArea>
    </format>
    <format dxfId="138">
      <pivotArea collapsedLevelsAreSubtotals="1" fieldPosition="0">
        <references count="1">
          <reference field="2" count="1" selected="0">
            <x v="26"/>
          </reference>
        </references>
      </pivotArea>
    </format>
    <format dxfId="139">
      <pivotArea collapsedLevelsAreSubtotals="1" fieldPosition="0">
        <references count="1">
          <reference field="2" count="1" selected="0">
            <x v="27"/>
          </reference>
        </references>
      </pivotArea>
    </format>
    <format dxfId="140">
      <pivotArea collapsedLevelsAreSubtotals="1" fieldPosition="0">
        <references count="1">
          <reference field="2" count="1" selected="0">
            <x v="28"/>
          </reference>
        </references>
      </pivotArea>
    </format>
    <format dxfId="141">
      <pivotArea collapsedLevelsAreSubtotals="1" fieldPosition="0">
        <references count="1">
          <reference field="2" count="1" selected="0">
            <x v="29"/>
          </reference>
        </references>
      </pivotArea>
    </format>
    <format dxfId="142">
      <pivotArea collapsedLevelsAreSubtotals="1" fieldPosition="0">
        <references count="1">
          <reference field="2" count="1" selected="0">
            <x v="30"/>
          </reference>
        </references>
      </pivotArea>
    </format>
    <format dxfId="143">
      <pivotArea collapsedLevelsAreSubtotals="1" fieldPosition="0">
        <references count="1">
          <reference field="2" count="1" selected="0">
            <x v="31"/>
          </reference>
        </references>
      </pivotArea>
    </format>
    <format dxfId="144">
      <pivotArea collapsedLevelsAreSubtotals="1" fieldPosition="0">
        <references count="1">
          <reference field="2" count="1" selected="0">
            <x v="32"/>
          </reference>
        </references>
      </pivotArea>
    </format>
    <format dxfId="145">
      <pivotArea collapsedLevelsAreSubtotals="1" fieldPosition="0">
        <references count="1">
          <reference field="2" count="1" selected="0">
            <x v="33"/>
          </reference>
        </references>
      </pivotArea>
    </format>
    <format dxfId="146">
      <pivotArea collapsedLevelsAreSubtotals="1" fieldPosition="0">
        <references count="1">
          <reference field="2" count="1" selected="0">
            <x v="34"/>
          </reference>
        </references>
      </pivotArea>
    </format>
    <format dxfId="147">
      <pivotArea collapsedLevelsAreSubtotals="1" fieldPosition="0">
        <references count="1">
          <reference field="2" count="1" selected="0">
            <x v="35"/>
          </reference>
        </references>
      </pivotArea>
    </format>
    <format dxfId="148">
      <pivotArea collapsedLevelsAreSubtotals="1" fieldPosition="0">
        <references count="1">
          <reference field="2" count="1" selected="0">
            <x v="36"/>
          </reference>
        </references>
      </pivotArea>
    </format>
    <format dxfId="149">
      <pivotArea collapsedLevelsAreSubtotals="1" fieldPosition="0">
        <references count="1">
          <reference field="2" count="1" selected="0">
            <x v="37"/>
          </reference>
        </references>
      </pivotArea>
    </format>
    <format dxfId="150">
      <pivotArea collapsedLevelsAreSubtotals="1" fieldPosition="0">
        <references count="1">
          <reference field="2" count="1" selected="0">
            <x v="38"/>
          </reference>
        </references>
      </pivotArea>
    </format>
    <format dxfId="151">
      <pivotArea collapsedLevelsAreSubtotals="1" fieldPosition="0">
        <references count="1">
          <reference field="2" count="1" selected="0">
            <x v="39"/>
          </reference>
        </references>
      </pivotArea>
    </format>
    <format dxfId="152">
      <pivotArea dataOnly="0" labelOnly="1" fieldPosition="0">
        <references count="1">
          <reference field="2" count="1">
            <x v="39"/>
          </reference>
        </references>
      </pivotArea>
    </format>
    <format dxfId="153">
      <pivotArea collapsedLevelsAreSubtotals="1" fieldPosition="0">
        <references count="1">
          <reference field="2" count="1" selected="0">
            <x v="39"/>
          </reference>
        </references>
      </pivotArea>
    </format>
    <format dxfId="154">
      <pivotArea dataOnly="0" labelOnly="1" grandRow="1" fieldPosition="0"/>
    </format>
    <format dxfId="155">
      <pivotArea grandRow="1" collapsedLevelsAreSubtotals="1" fieldPosition="0"/>
    </format>
    <format dxfId="156">
      <pivotArea dataOnly="0" labelOnly="1" grandRow="1" fieldPosition="0"/>
    </format>
    <format dxfId="157">
      <pivotArea grandRow="1" collapsedLevelsAreSubtotals="1" fieldPosition="0"/>
    </format>
    <format dxfId="158">
      <pivotArea type="origin" dataOnly="0" labelOnly="1" outline="0" fieldPosition="0"/>
    </format>
    <format dxfId="159">
      <pivotArea field="6" type="button" dataOnly="0" labelOnly="1" outline="0" fieldPosition="0"/>
    </format>
    <format dxfId="160">
      <pivotArea field="-2" type="button" dataOnly="0" labelOnly="1" outline="0" fieldPosition="0"/>
    </format>
    <format dxfId="161">
      <pivotArea field="2" type="button" dataOnly="0" labelOnly="1" outline="0" fieldPosition="0"/>
    </format>
    <format dxfId="162">
      <pivotArea dataOnly="0" labelOnly="1" fieldPosition="0">
        <references count="1">
          <reference field="2" count="1">
            <x v="0"/>
          </reference>
        </references>
      </pivotArea>
    </format>
    <format dxfId="163">
      <pivotArea dataOnly="0" labelOnly="1" fieldPosition="0">
        <references count="1">
          <reference field="2" count="1">
            <x v="1"/>
          </reference>
        </references>
      </pivotArea>
    </format>
    <format dxfId="164">
      <pivotArea dataOnly="0" labelOnly="1" fieldPosition="0">
        <references count="1">
          <reference field="2" count="1">
            <x v="2"/>
          </reference>
        </references>
      </pivotArea>
    </format>
    <format dxfId="165">
      <pivotArea dataOnly="0" labelOnly="1" fieldPosition="0">
        <references count="1">
          <reference field="2" count="1">
            <x v="3"/>
          </reference>
        </references>
      </pivotArea>
    </format>
    <format dxfId="166">
      <pivotArea dataOnly="0" labelOnly="1" fieldPosition="0">
        <references count="1">
          <reference field="2" count="1">
            <x v="4"/>
          </reference>
        </references>
      </pivotArea>
    </format>
    <format dxfId="167">
      <pivotArea dataOnly="0" labelOnly="1" fieldPosition="0">
        <references count="1">
          <reference field="2" count="1">
            <x v="5"/>
          </reference>
        </references>
      </pivotArea>
    </format>
    <format dxfId="168">
      <pivotArea dataOnly="0" labelOnly="1" fieldPosition="0">
        <references count="1">
          <reference field="2" count="1">
            <x v="6"/>
          </reference>
        </references>
      </pivotArea>
    </format>
    <format dxfId="169">
      <pivotArea dataOnly="0" labelOnly="1" fieldPosition="0">
        <references count="1">
          <reference field="2" count="1">
            <x v="7"/>
          </reference>
        </references>
      </pivotArea>
    </format>
    <format dxfId="170">
      <pivotArea dataOnly="0" labelOnly="1" fieldPosition="0">
        <references count="1">
          <reference field="2" count="1">
            <x v="8"/>
          </reference>
        </references>
      </pivotArea>
    </format>
    <format dxfId="171">
      <pivotArea dataOnly="0" labelOnly="1" fieldPosition="0">
        <references count="1">
          <reference field="2" count="1">
            <x v="9"/>
          </reference>
        </references>
      </pivotArea>
    </format>
    <format dxfId="172">
      <pivotArea dataOnly="0" labelOnly="1" fieldPosition="0">
        <references count="1">
          <reference field="2" count="1">
            <x v="10"/>
          </reference>
        </references>
      </pivotArea>
    </format>
    <format dxfId="173">
      <pivotArea dataOnly="0" labelOnly="1" fieldPosition="0">
        <references count="1">
          <reference field="2" count="1">
            <x v="11"/>
          </reference>
        </references>
      </pivotArea>
    </format>
    <format dxfId="174">
      <pivotArea dataOnly="0" labelOnly="1" fieldPosition="0">
        <references count="1">
          <reference field="2" count="1">
            <x v="12"/>
          </reference>
        </references>
      </pivotArea>
    </format>
    <format dxfId="175">
      <pivotArea dataOnly="0" labelOnly="1" fieldPosition="0">
        <references count="1">
          <reference field="2" count="1">
            <x v="13"/>
          </reference>
        </references>
      </pivotArea>
    </format>
    <format dxfId="176">
      <pivotArea dataOnly="0" labelOnly="1" fieldPosition="0">
        <references count="1">
          <reference field="2" count="1">
            <x v="14"/>
          </reference>
        </references>
      </pivotArea>
    </format>
    <format dxfId="177">
      <pivotArea dataOnly="0" labelOnly="1" fieldPosition="0">
        <references count="1">
          <reference field="2" count="1">
            <x v="15"/>
          </reference>
        </references>
      </pivotArea>
    </format>
    <format dxfId="178">
      <pivotArea dataOnly="0" labelOnly="1" fieldPosition="0">
        <references count="1">
          <reference field="2" count="1">
            <x v="16"/>
          </reference>
        </references>
      </pivotArea>
    </format>
    <format dxfId="179">
      <pivotArea dataOnly="0" labelOnly="1" fieldPosition="0">
        <references count="1">
          <reference field="2" count="1">
            <x v="17"/>
          </reference>
        </references>
      </pivotArea>
    </format>
    <format dxfId="180">
      <pivotArea dataOnly="0" labelOnly="1" fieldPosition="0">
        <references count="1">
          <reference field="2" count="1">
            <x v="18"/>
          </reference>
        </references>
      </pivotArea>
    </format>
    <format dxfId="181">
      <pivotArea dataOnly="0" labelOnly="1" fieldPosition="0">
        <references count="1">
          <reference field="2" count="1">
            <x v="19"/>
          </reference>
        </references>
      </pivotArea>
    </format>
    <format dxfId="182">
      <pivotArea dataOnly="0" labelOnly="1" fieldPosition="0">
        <references count="1">
          <reference field="2" count="1">
            <x v="20"/>
          </reference>
        </references>
      </pivotArea>
    </format>
    <format dxfId="183">
      <pivotArea dataOnly="0" labelOnly="1" fieldPosition="0">
        <references count="1">
          <reference field="2" count="1">
            <x v="21"/>
          </reference>
        </references>
      </pivotArea>
    </format>
    <format dxfId="184">
      <pivotArea dataOnly="0" labelOnly="1" fieldPosition="0">
        <references count="1">
          <reference field="2" count="1">
            <x v="22"/>
          </reference>
        </references>
      </pivotArea>
    </format>
    <format dxfId="185">
      <pivotArea dataOnly="0" labelOnly="1" fieldPosition="0">
        <references count="1">
          <reference field="2" count="1">
            <x v="23"/>
          </reference>
        </references>
      </pivotArea>
    </format>
    <format dxfId="186">
      <pivotArea dataOnly="0" labelOnly="1" fieldPosition="0">
        <references count="1">
          <reference field="2" count="1">
            <x v="24"/>
          </reference>
        </references>
      </pivotArea>
    </format>
    <format dxfId="187">
      <pivotArea dataOnly="0" labelOnly="1" fieldPosition="0">
        <references count="1">
          <reference field="2" count="1">
            <x v="25"/>
          </reference>
        </references>
      </pivotArea>
    </format>
    <format dxfId="188">
      <pivotArea dataOnly="0" labelOnly="1" fieldPosition="0">
        <references count="1">
          <reference field="2" count="1">
            <x v="26"/>
          </reference>
        </references>
      </pivotArea>
    </format>
    <format dxfId="189">
      <pivotArea dataOnly="0" labelOnly="1" fieldPosition="0">
        <references count="1">
          <reference field="2" count="1">
            <x v="27"/>
          </reference>
        </references>
      </pivotArea>
    </format>
    <format dxfId="190">
      <pivotArea dataOnly="0" labelOnly="1" fieldPosition="0">
        <references count="1">
          <reference field="2" count="1">
            <x v="28"/>
          </reference>
        </references>
      </pivotArea>
    </format>
    <format dxfId="191">
      <pivotArea dataOnly="0" labelOnly="1" fieldPosition="0">
        <references count="1">
          <reference field="2" count="1">
            <x v="29"/>
          </reference>
        </references>
      </pivotArea>
    </format>
    <format dxfId="192">
      <pivotArea dataOnly="0" labelOnly="1" fieldPosition="0">
        <references count="1">
          <reference field="2" count="1">
            <x v="30"/>
          </reference>
        </references>
      </pivotArea>
    </format>
    <format dxfId="193">
      <pivotArea dataOnly="0" labelOnly="1" fieldPosition="0">
        <references count="1">
          <reference field="2" count="1">
            <x v="31"/>
          </reference>
        </references>
      </pivotArea>
    </format>
    <format dxfId="194">
      <pivotArea dataOnly="0" labelOnly="1" fieldPosition="0">
        <references count="1">
          <reference field="2" count="1">
            <x v="32"/>
          </reference>
        </references>
      </pivotArea>
    </format>
    <format dxfId="195">
      <pivotArea dataOnly="0" labelOnly="1" fieldPosition="0">
        <references count="1">
          <reference field="2" count="1">
            <x v="33"/>
          </reference>
        </references>
      </pivotArea>
    </format>
    <format dxfId="196">
      <pivotArea dataOnly="0" labelOnly="1" fieldPosition="0">
        <references count="1">
          <reference field="2" count="1">
            <x v="34"/>
          </reference>
        </references>
      </pivotArea>
    </format>
    <format dxfId="197">
      <pivotArea dataOnly="0" labelOnly="1" fieldPosition="0">
        <references count="1">
          <reference field="2" count="1">
            <x v="35"/>
          </reference>
        </references>
      </pivotArea>
    </format>
    <format dxfId="198">
      <pivotArea dataOnly="0" labelOnly="1" fieldPosition="0">
        <references count="1">
          <reference field="2" count="1">
            <x v="36"/>
          </reference>
        </references>
      </pivotArea>
    </format>
    <format dxfId="199">
      <pivotArea dataOnly="0" labelOnly="1" fieldPosition="0">
        <references count="1">
          <reference field="2" count="1">
            <x v="37"/>
          </reference>
        </references>
      </pivotArea>
    </format>
    <format dxfId="200">
      <pivotArea dataOnly="0" labelOnly="1" fieldPosition="0">
        <references count="1">
          <reference field="2" count="1">
            <x v="38"/>
          </reference>
        </references>
      </pivotArea>
    </format>
    <format dxfId="201">
      <pivotArea dataOnly="0" labelOnly="1" fieldPosition="0">
        <references count="1">
          <reference field="2" count="1">
            <x v="39"/>
          </reference>
        </references>
      </pivotArea>
    </format>
    <format dxfId="202">
      <pivotArea dataOnly="0" labelOnly="1" fieldPosition="0">
        <references count="1">
          <reference field="6" count="0"/>
        </references>
      </pivotArea>
    </format>
    <format dxfId="203">
      <pivotArea dataOnly="0" labelOnly="1" fieldPosition="0">
        <references count="2">
          <reference field="4294967294" count="1">
            <x v="0"/>
          </reference>
          <reference field="6" count="1" selected="0">
            <x v="0"/>
          </reference>
        </references>
      </pivotArea>
    </format>
    <format dxfId="204">
      <pivotArea dataOnly="0" labelOnly="1" fieldPosition="0">
        <references count="2">
          <reference field="4294967294" count="1">
            <x v="1"/>
          </reference>
          <reference field="6" count="1" selected="0">
            <x v="0"/>
          </reference>
        </references>
      </pivotArea>
    </format>
    <format dxfId="205">
      <pivotArea dataOnly="0" labelOnly="1" fieldPosition="0">
        <references count="2">
          <reference field="4294967294" count="1">
            <x v="2"/>
          </reference>
          <reference field="6" count="1" selected="0">
            <x v="0"/>
          </reference>
        </references>
      </pivotArea>
    </format>
    <format dxfId="206">
      <pivotArea dataOnly="0" labelOnly="1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207">
      <pivotArea dataOnly="0" labelOnly="1" fieldPosition="0">
        <references count="2">
          <reference field="4294967294" count="1">
            <x v="1"/>
          </reference>
          <reference field="6" count="1" selected="0">
            <x v="1"/>
          </reference>
        </references>
      </pivotArea>
    </format>
    <format dxfId="208">
      <pivotArea dataOnly="0" labelOnly="1" fieldPosition="0">
        <references count="2">
          <reference field="4294967294" count="1">
            <x v="2"/>
          </reference>
          <reference field="6" count="1" selected="0">
            <x v="1"/>
          </reference>
        </references>
      </pivotArea>
    </format>
    <format dxfId="209">
      <pivotArea dataOnly="0" labelOnly="1" fieldPosition="0">
        <references count="2">
          <reference field="4294967294" count="1">
            <x v="0"/>
          </reference>
          <reference field="6" count="1" selected="0">
            <x v="2"/>
          </reference>
        </references>
      </pivotArea>
    </format>
    <format dxfId="210">
      <pivotArea dataOnly="0" labelOnly="1" fieldPosition="0">
        <references count="2">
          <reference field="4294967294" count="1">
            <x v="1"/>
          </reference>
          <reference field="6" count="1" selected="0">
            <x v="2"/>
          </reference>
        </references>
      </pivotArea>
    </format>
    <format dxfId="211">
      <pivotArea dataOnly="0" labelOnly="1" fieldPosition="0">
        <references count="2">
          <reference field="4294967294" count="1">
            <x v="2"/>
          </reference>
          <reference field="6" count="1" selected="0">
            <x v="2"/>
          </reference>
        </references>
      </pivotArea>
    </format>
    <format dxfId="212">
      <pivotArea dataOnly="0" labelOnly="1" grandCol="1" fieldPosition="0">
        <references count="1">
          <reference field="4294967294" count="1" selected="0">
            <x v="0"/>
          </reference>
        </references>
      </pivotArea>
    </format>
    <format dxfId="213">
      <pivotArea dataOnly="0" labelOnly="1" grandCol="1" fieldPosition="0">
        <references count="1">
          <reference field="4294967294" count="1" selected="0">
            <x v="1"/>
          </reference>
        </references>
      </pivotArea>
    </format>
    <format dxfId="214">
      <pivotArea dataOnly="0" labelOnly="1" grandCol="1" fieldPosition="0">
        <references count="1">
          <reference field="4294967294" count="1" selected="0">
            <x v="2"/>
          </reference>
        </references>
      </pivotArea>
    </format>
    <format dxfId="215">
      <pivotArea collapsedLevelsAreSubtotals="1" fieldPosition="0">
        <references count="1">
          <reference field="2" count="1" selected="0">
            <x v="0"/>
          </reference>
        </references>
      </pivotArea>
    </format>
    <format dxfId="216">
      <pivotArea collapsedLevelsAreSubtotals="1" fieldPosition="0">
        <references count="1">
          <reference field="2" count="1" selected="0">
            <x v="1"/>
          </reference>
        </references>
      </pivotArea>
    </format>
    <format dxfId="217">
      <pivotArea collapsedLevelsAreSubtotals="1" fieldPosition="0">
        <references count="1">
          <reference field="2" count="1" selected="0">
            <x v="2"/>
          </reference>
        </references>
      </pivotArea>
    </format>
    <format dxfId="218">
      <pivotArea collapsedLevelsAreSubtotals="1" fieldPosition="0">
        <references count="1">
          <reference field="2" count="1" selected="0">
            <x v="3"/>
          </reference>
        </references>
      </pivotArea>
    </format>
    <format dxfId="219">
      <pivotArea collapsedLevelsAreSubtotals="1" fieldPosition="0">
        <references count="1">
          <reference field="2" count="1" selected="0">
            <x v="4"/>
          </reference>
        </references>
      </pivotArea>
    </format>
    <format dxfId="220">
      <pivotArea collapsedLevelsAreSubtotals="1" fieldPosition="0">
        <references count="1">
          <reference field="2" count="1" selected="0">
            <x v="5"/>
          </reference>
        </references>
      </pivotArea>
    </format>
    <format dxfId="221">
      <pivotArea collapsedLevelsAreSubtotals="1" fieldPosition="0">
        <references count="1">
          <reference field="2" count="1" selected="0">
            <x v="6"/>
          </reference>
        </references>
      </pivotArea>
    </format>
    <format dxfId="222">
      <pivotArea collapsedLevelsAreSubtotals="1" fieldPosition="0">
        <references count="1">
          <reference field="2" count="1" selected="0">
            <x v="7"/>
          </reference>
        </references>
      </pivotArea>
    </format>
    <format dxfId="223">
      <pivotArea collapsedLevelsAreSubtotals="1" fieldPosition="0">
        <references count="1">
          <reference field="2" count="1" selected="0">
            <x v="8"/>
          </reference>
        </references>
      </pivotArea>
    </format>
    <format dxfId="224">
      <pivotArea collapsedLevelsAreSubtotals="1" fieldPosition="0">
        <references count="1">
          <reference field="2" count="1" selected="0">
            <x v="9"/>
          </reference>
        </references>
      </pivotArea>
    </format>
    <format dxfId="225">
      <pivotArea collapsedLevelsAreSubtotals="1" fieldPosition="0">
        <references count="1">
          <reference field="2" count="1" selected="0">
            <x v="10"/>
          </reference>
        </references>
      </pivotArea>
    </format>
    <format dxfId="226">
      <pivotArea collapsedLevelsAreSubtotals="1" fieldPosition="0">
        <references count="1">
          <reference field="2" count="1" selected="0">
            <x v="11"/>
          </reference>
        </references>
      </pivotArea>
    </format>
    <format dxfId="227">
      <pivotArea collapsedLevelsAreSubtotals="1" fieldPosition="0">
        <references count="1">
          <reference field="2" count="1" selected="0">
            <x v="12"/>
          </reference>
        </references>
      </pivotArea>
    </format>
    <format dxfId="228">
      <pivotArea collapsedLevelsAreSubtotals="1" fieldPosition="0">
        <references count="1">
          <reference field="2" count="1" selected="0">
            <x v="13"/>
          </reference>
        </references>
      </pivotArea>
    </format>
    <format dxfId="229">
      <pivotArea collapsedLevelsAreSubtotals="1" fieldPosition="0">
        <references count="1">
          <reference field="2" count="1" selected="0">
            <x v="14"/>
          </reference>
        </references>
      </pivotArea>
    </format>
    <format dxfId="230">
      <pivotArea collapsedLevelsAreSubtotals="1" fieldPosition="0">
        <references count="1">
          <reference field="2" count="1" selected="0">
            <x v="15"/>
          </reference>
        </references>
      </pivotArea>
    </format>
    <format dxfId="231">
      <pivotArea collapsedLevelsAreSubtotals="1" fieldPosition="0">
        <references count="1">
          <reference field="2" count="1" selected="0">
            <x v="16"/>
          </reference>
        </references>
      </pivotArea>
    </format>
    <format dxfId="232">
      <pivotArea collapsedLevelsAreSubtotals="1" fieldPosition="0">
        <references count="1">
          <reference field="2" count="1" selected="0">
            <x v="17"/>
          </reference>
        </references>
      </pivotArea>
    </format>
    <format dxfId="233">
      <pivotArea collapsedLevelsAreSubtotals="1" fieldPosition="0">
        <references count="1">
          <reference field="2" count="1" selected="0">
            <x v="18"/>
          </reference>
        </references>
      </pivotArea>
    </format>
    <format dxfId="234">
      <pivotArea collapsedLevelsAreSubtotals="1" fieldPosition="0">
        <references count="1">
          <reference field="2" count="1" selected="0">
            <x v="19"/>
          </reference>
        </references>
      </pivotArea>
    </format>
    <format dxfId="235">
      <pivotArea collapsedLevelsAreSubtotals="1" fieldPosition="0">
        <references count="1">
          <reference field="2" count="1" selected="0">
            <x v="20"/>
          </reference>
        </references>
      </pivotArea>
    </format>
    <format dxfId="236">
      <pivotArea collapsedLevelsAreSubtotals="1" fieldPosition="0">
        <references count="1">
          <reference field="2" count="1" selected="0">
            <x v="21"/>
          </reference>
        </references>
      </pivotArea>
    </format>
    <format dxfId="237">
      <pivotArea collapsedLevelsAreSubtotals="1" fieldPosition="0">
        <references count="1">
          <reference field="2" count="1" selected="0">
            <x v="22"/>
          </reference>
        </references>
      </pivotArea>
    </format>
    <format dxfId="238">
      <pivotArea collapsedLevelsAreSubtotals="1" fieldPosition="0">
        <references count="1">
          <reference field="2" count="1" selected="0">
            <x v="23"/>
          </reference>
        </references>
      </pivotArea>
    </format>
    <format dxfId="239">
      <pivotArea collapsedLevelsAreSubtotals="1" fieldPosition="0">
        <references count="1">
          <reference field="2" count="1" selected="0">
            <x v="24"/>
          </reference>
        </references>
      </pivotArea>
    </format>
    <format dxfId="240">
      <pivotArea collapsedLevelsAreSubtotals="1" fieldPosition="0">
        <references count="1">
          <reference field="2" count="1" selected="0">
            <x v="25"/>
          </reference>
        </references>
      </pivotArea>
    </format>
    <format dxfId="241">
      <pivotArea collapsedLevelsAreSubtotals="1" fieldPosition="0">
        <references count="1">
          <reference field="2" count="1" selected="0">
            <x v="26"/>
          </reference>
        </references>
      </pivotArea>
    </format>
    <format dxfId="242">
      <pivotArea collapsedLevelsAreSubtotals="1" fieldPosition="0">
        <references count="1">
          <reference field="2" count="1" selected="0">
            <x v="27"/>
          </reference>
        </references>
      </pivotArea>
    </format>
    <format dxfId="243">
      <pivotArea collapsedLevelsAreSubtotals="1" fieldPosition="0">
        <references count="1">
          <reference field="2" count="1" selected="0">
            <x v="28"/>
          </reference>
        </references>
      </pivotArea>
    </format>
    <format dxfId="244">
      <pivotArea collapsedLevelsAreSubtotals="1" fieldPosition="0">
        <references count="1">
          <reference field="2" count="1" selected="0">
            <x v="29"/>
          </reference>
        </references>
      </pivotArea>
    </format>
    <format dxfId="245">
      <pivotArea collapsedLevelsAreSubtotals="1" fieldPosition="0">
        <references count="1">
          <reference field="2" count="1" selected="0">
            <x v="30"/>
          </reference>
        </references>
      </pivotArea>
    </format>
    <format dxfId="246">
      <pivotArea collapsedLevelsAreSubtotals="1" fieldPosition="0">
        <references count="1">
          <reference field="2" count="1" selected="0">
            <x v="31"/>
          </reference>
        </references>
      </pivotArea>
    </format>
    <format dxfId="247">
      <pivotArea collapsedLevelsAreSubtotals="1" fieldPosition="0">
        <references count="1">
          <reference field="2" count="1" selected="0">
            <x v="32"/>
          </reference>
        </references>
      </pivotArea>
    </format>
    <format dxfId="248">
      <pivotArea collapsedLevelsAreSubtotals="1" fieldPosition="0">
        <references count="1">
          <reference field="2" count="1" selected="0">
            <x v="33"/>
          </reference>
        </references>
      </pivotArea>
    </format>
    <format dxfId="249">
      <pivotArea collapsedLevelsAreSubtotals="1" fieldPosition="0">
        <references count="1">
          <reference field="2" count="1" selected="0">
            <x v="34"/>
          </reference>
        </references>
      </pivotArea>
    </format>
    <format dxfId="250">
      <pivotArea collapsedLevelsAreSubtotals="1" fieldPosition="0">
        <references count="1">
          <reference field="2" count="1" selected="0">
            <x v="35"/>
          </reference>
        </references>
      </pivotArea>
    </format>
    <format dxfId="251">
      <pivotArea collapsedLevelsAreSubtotals="1" fieldPosition="0">
        <references count="1">
          <reference field="2" count="1" selected="0">
            <x v="36"/>
          </reference>
        </references>
      </pivotArea>
    </format>
    <format dxfId="252">
      <pivotArea collapsedLevelsAreSubtotals="1" fieldPosition="0">
        <references count="1">
          <reference field="2" count="1" selected="0">
            <x v="37"/>
          </reference>
        </references>
      </pivotArea>
    </format>
    <format dxfId="253">
      <pivotArea collapsedLevelsAreSubtotals="1" fieldPosition="0">
        <references count="1">
          <reference field="2" count="1" selected="0">
            <x v="38"/>
          </reference>
        </references>
      </pivotArea>
    </format>
    <format dxfId="254">
      <pivotArea collapsedLevelsAreSubtotals="1" fieldPosition="0">
        <references count="1">
          <reference field="2" count="1" selected="0">
            <x v="39"/>
          </reference>
        </references>
      </pivotArea>
    </format>
  </formats>
  <pivotTableStyleInfo name="PivotStylePreset2_Accent1" showRowHeaders="1" showColHeaders="1"/>
  <filters count="1">
    <filter evalOrder="-1" fld="6" iMeasureFld="2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8"/>
  <sheetViews>
    <sheetView workbookViewId="0">
      <selection activeCell="I533" sqref="I533"/>
    </sheetView>
  </sheetViews>
  <sheetFormatPr defaultColWidth="9" defaultRowHeight="16.8" outlineLevelCol="7"/>
  <cols>
    <col min="1" max="1" width="13.75" customWidth="1"/>
    <col min="2" max="2" width="7.5625" customWidth="1"/>
    <col min="3" max="3" width="12.0625" customWidth="1"/>
    <col min="4" max="4" width="16.25" customWidth="1"/>
    <col min="5" max="5" width="11.0625" customWidth="1"/>
    <col min="6" max="6" width="16.625" customWidth="1"/>
    <col min="7" max="7" width="10.875" customWidth="1"/>
    <col min="8" max="8" width="10.125" customWidth="1"/>
  </cols>
  <sheetData>
    <row r="1" spans="1:8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spans="1:8">
      <c r="A2" s="17" t="s">
        <v>8</v>
      </c>
      <c r="B2" s="17">
        <v>350</v>
      </c>
      <c r="C2" s="17">
        <v>16</v>
      </c>
      <c r="D2" s="18">
        <v>46051.4673611111</v>
      </c>
      <c r="E2" s="17">
        <v>2999</v>
      </c>
      <c r="F2" s="17" t="s">
        <v>9</v>
      </c>
      <c r="G2" s="17" t="s">
        <v>10</v>
      </c>
      <c r="H2" s="17">
        <v>85</v>
      </c>
    </row>
    <row r="3" spans="1:8">
      <c r="A3" s="17" t="s">
        <v>11</v>
      </c>
      <c r="B3" s="17">
        <v>287</v>
      </c>
      <c r="C3" s="17">
        <v>27</v>
      </c>
      <c r="D3" s="18">
        <v>46026.4923611111</v>
      </c>
      <c r="E3" s="17">
        <v>49</v>
      </c>
      <c r="F3" s="17" t="s">
        <v>12</v>
      </c>
      <c r="G3" s="17" t="s">
        <v>10</v>
      </c>
      <c r="H3" s="17">
        <v>79</v>
      </c>
    </row>
    <row r="4" spans="1:8">
      <c r="A4" s="17" t="s">
        <v>13</v>
      </c>
      <c r="B4" s="17">
        <v>122</v>
      </c>
      <c r="C4" s="17">
        <v>11</v>
      </c>
      <c r="D4" s="18">
        <v>46046.2076388889</v>
      </c>
      <c r="E4" s="17">
        <v>1499</v>
      </c>
      <c r="F4" s="17" t="s">
        <v>9</v>
      </c>
      <c r="G4" s="17" t="s">
        <v>10</v>
      </c>
      <c r="H4" s="17">
        <v>22</v>
      </c>
    </row>
    <row r="5" spans="1:8">
      <c r="A5" s="17" t="s">
        <v>14</v>
      </c>
      <c r="B5" s="17">
        <v>92</v>
      </c>
      <c r="C5" s="17">
        <v>22</v>
      </c>
      <c r="D5" s="18">
        <v>46051.5423611111</v>
      </c>
      <c r="E5" s="17">
        <v>49</v>
      </c>
      <c r="F5" s="17" t="s">
        <v>15</v>
      </c>
      <c r="G5" s="17" t="s">
        <v>10</v>
      </c>
      <c r="H5" s="17">
        <v>100</v>
      </c>
    </row>
    <row r="6" spans="1:8">
      <c r="A6" s="17" t="s">
        <v>16</v>
      </c>
      <c r="B6" s="17">
        <v>343</v>
      </c>
      <c r="C6" s="17">
        <v>16</v>
      </c>
      <c r="D6" s="18">
        <v>46052.5770833333</v>
      </c>
      <c r="E6" s="17">
        <v>99</v>
      </c>
      <c r="F6" s="17" t="s">
        <v>12</v>
      </c>
      <c r="G6" s="17" t="s">
        <v>10</v>
      </c>
      <c r="H6" s="17">
        <v>34</v>
      </c>
    </row>
    <row r="7" spans="1:8">
      <c r="A7" s="17" t="s">
        <v>17</v>
      </c>
      <c r="B7" s="17">
        <v>196</v>
      </c>
      <c r="C7" s="17">
        <v>3</v>
      </c>
      <c r="D7" s="18">
        <v>46028.9208333333</v>
      </c>
      <c r="E7" s="17">
        <v>99</v>
      </c>
      <c r="F7" s="17" t="s">
        <v>12</v>
      </c>
      <c r="G7" s="17" t="s">
        <v>10</v>
      </c>
      <c r="H7" s="17">
        <v>60</v>
      </c>
    </row>
    <row r="8" spans="1:8">
      <c r="A8" s="17" t="s">
        <v>18</v>
      </c>
      <c r="B8" s="17">
        <v>236</v>
      </c>
      <c r="C8" s="17">
        <v>23</v>
      </c>
      <c r="D8" s="18">
        <v>46030.2861111111</v>
      </c>
      <c r="E8" s="17">
        <v>99</v>
      </c>
      <c r="F8" s="17" t="s">
        <v>9</v>
      </c>
      <c r="G8" s="17" t="s">
        <v>10</v>
      </c>
      <c r="H8" s="17">
        <v>39</v>
      </c>
    </row>
    <row r="9" spans="1:8">
      <c r="A9" s="17" t="s">
        <v>19</v>
      </c>
      <c r="B9" s="17">
        <v>13</v>
      </c>
      <c r="C9" s="17">
        <v>13</v>
      </c>
      <c r="D9" s="18">
        <v>46049.3013888889</v>
      </c>
      <c r="E9" s="17">
        <v>99</v>
      </c>
      <c r="F9" s="17" t="s">
        <v>12</v>
      </c>
      <c r="G9" s="17" t="s">
        <v>10</v>
      </c>
      <c r="H9" s="17">
        <v>51</v>
      </c>
    </row>
    <row r="10" spans="1:8">
      <c r="A10" s="17" t="s">
        <v>20</v>
      </c>
      <c r="B10" s="17">
        <v>36</v>
      </c>
      <c r="C10" s="17">
        <v>18</v>
      </c>
      <c r="D10" s="18">
        <v>46033.3715277778</v>
      </c>
      <c r="E10" s="17">
        <v>799</v>
      </c>
      <c r="F10" s="17" t="s">
        <v>12</v>
      </c>
      <c r="G10" s="17" t="s">
        <v>10</v>
      </c>
      <c r="H10" s="17">
        <v>44</v>
      </c>
    </row>
    <row r="11" spans="1:8">
      <c r="A11" s="17" t="s">
        <v>21</v>
      </c>
      <c r="B11" s="17">
        <v>348</v>
      </c>
      <c r="C11" s="17">
        <v>35</v>
      </c>
      <c r="D11" s="18">
        <v>46043.6840277778</v>
      </c>
      <c r="E11" s="17">
        <v>299</v>
      </c>
      <c r="F11" s="17" t="s">
        <v>12</v>
      </c>
      <c r="G11" s="17" t="s">
        <v>10</v>
      </c>
      <c r="H11" s="17">
        <v>42</v>
      </c>
    </row>
    <row r="12" spans="1:8">
      <c r="A12" s="17" t="s">
        <v>22</v>
      </c>
      <c r="B12" s="17">
        <v>134</v>
      </c>
      <c r="C12" s="17">
        <v>12</v>
      </c>
      <c r="D12" s="18">
        <v>46023.1638888889</v>
      </c>
      <c r="E12" s="17">
        <v>49</v>
      </c>
      <c r="F12" s="17" t="s">
        <v>12</v>
      </c>
      <c r="G12" s="17" t="s">
        <v>10</v>
      </c>
      <c r="H12" s="17">
        <v>74</v>
      </c>
    </row>
    <row r="13" spans="1:8">
      <c r="A13" s="17" t="s">
        <v>23</v>
      </c>
      <c r="B13" s="17">
        <v>306</v>
      </c>
      <c r="C13" s="17">
        <v>28</v>
      </c>
      <c r="D13" s="18">
        <v>46031.0458333333</v>
      </c>
      <c r="E13" s="17">
        <v>2999</v>
      </c>
      <c r="F13" s="17" t="s">
        <v>24</v>
      </c>
      <c r="G13" s="17" t="s">
        <v>25</v>
      </c>
      <c r="H13" s="17">
        <v>44</v>
      </c>
    </row>
    <row r="14" spans="1:8">
      <c r="A14" s="17" t="s">
        <v>26</v>
      </c>
      <c r="B14" s="17">
        <v>311</v>
      </c>
      <c r="C14" s="17">
        <v>33</v>
      </c>
      <c r="D14" s="18">
        <v>46046.4354166667</v>
      </c>
      <c r="E14" s="17">
        <v>49</v>
      </c>
      <c r="F14" s="17" t="s">
        <v>9</v>
      </c>
      <c r="G14" s="17" t="s">
        <v>10</v>
      </c>
      <c r="H14" s="17">
        <v>14</v>
      </c>
    </row>
    <row r="15" spans="1:8">
      <c r="A15" s="17" t="s">
        <v>27</v>
      </c>
      <c r="B15" s="17">
        <v>131</v>
      </c>
      <c r="C15" s="17">
        <v>3</v>
      </c>
      <c r="D15" s="18">
        <v>46035.7583333333</v>
      </c>
      <c r="E15" s="17">
        <v>49</v>
      </c>
      <c r="F15" s="17" t="s">
        <v>12</v>
      </c>
      <c r="G15" s="17" t="s">
        <v>10</v>
      </c>
      <c r="H15" s="17">
        <v>90</v>
      </c>
    </row>
    <row r="16" spans="1:8">
      <c r="A16" s="17" t="s">
        <v>28</v>
      </c>
      <c r="B16" s="17">
        <v>276</v>
      </c>
      <c r="C16" s="17">
        <v>13</v>
      </c>
      <c r="D16" s="18">
        <v>46036.0229166667</v>
      </c>
      <c r="E16" s="17">
        <v>1499</v>
      </c>
      <c r="F16" s="17" t="s">
        <v>12</v>
      </c>
      <c r="G16" s="17" t="s">
        <v>10</v>
      </c>
      <c r="H16" s="17">
        <v>46</v>
      </c>
    </row>
    <row r="17" spans="1:8">
      <c r="A17" s="17" t="s">
        <v>29</v>
      </c>
      <c r="B17" s="17">
        <v>170</v>
      </c>
      <c r="C17" s="17">
        <v>40</v>
      </c>
      <c r="D17" s="18">
        <v>46036.1125</v>
      </c>
      <c r="E17" s="17">
        <v>99</v>
      </c>
      <c r="F17" s="17" t="s">
        <v>12</v>
      </c>
      <c r="G17" s="17" t="s">
        <v>10</v>
      </c>
      <c r="H17" s="17">
        <v>40</v>
      </c>
    </row>
    <row r="18" spans="1:8">
      <c r="A18" s="17" t="s">
        <v>30</v>
      </c>
      <c r="B18" s="17">
        <v>154</v>
      </c>
      <c r="C18" s="17">
        <v>33</v>
      </c>
      <c r="D18" s="18">
        <v>46044.1569444444</v>
      </c>
      <c r="E18" s="17">
        <v>99</v>
      </c>
      <c r="F18" s="17" t="s">
        <v>15</v>
      </c>
      <c r="G18" s="17" t="s">
        <v>10</v>
      </c>
      <c r="H18" s="17">
        <v>39</v>
      </c>
    </row>
    <row r="19" spans="1:8">
      <c r="A19" s="17" t="s">
        <v>31</v>
      </c>
      <c r="B19" s="17">
        <v>207</v>
      </c>
      <c r="C19" s="17">
        <v>19</v>
      </c>
      <c r="D19" s="18">
        <v>46044.5555555556</v>
      </c>
      <c r="E19" s="17">
        <v>2999</v>
      </c>
      <c r="F19" s="17" t="s">
        <v>24</v>
      </c>
      <c r="G19" s="17" t="s">
        <v>10</v>
      </c>
      <c r="H19" s="17">
        <v>70</v>
      </c>
    </row>
    <row r="20" spans="1:8">
      <c r="A20" s="17" t="s">
        <v>32</v>
      </c>
      <c r="B20" s="17">
        <v>341</v>
      </c>
      <c r="C20" s="17">
        <v>25</v>
      </c>
      <c r="D20" s="18">
        <v>46027.2680555556</v>
      </c>
      <c r="E20" s="17">
        <v>2999</v>
      </c>
      <c r="F20" s="17" t="s">
        <v>12</v>
      </c>
      <c r="G20" s="17" t="s">
        <v>10</v>
      </c>
      <c r="H20" s="17">
        <v>86</v>
      </c>
    </row>
    <row r="21" spans="1:8">
      <c r="A21" s="17" t="s">
        <v>33</v>
      </c>
      <c r="B21" s="17">
        <v>292</v>
      </c>
      <c r="C21" s="17">
        <v>20</v>
      </c>
      <c r="D21" s="18">
        <v>46046.2354166667</v>
      </c>
      <c r="E21" s="17">
        <v>49</v>
      </c>
      <c r="F21" s="17" t="s">
        <v>12</v>
      </c>
      <c r="G21" s="17" t="s">
        <v>10</v>
      </c>
      <c r="H21" s="17">
        <v>51</v>
      </c>
    </row>
    <row r="22" spans="1:8">
      <c r="A22" s="17" t="s">
        <v>34</v>
      </c>
      <c r="B22" s="17">
        <v>147</v>
      </c>
      <c r="C22" s="17">
        <v>14</v>
      </c>
      <c r="D22" s="18">
        <v>46040.0131944444</v>
      </c>
      <c r="E22" s="17">
        <v>99</v>
      </c>
      <c r="F22" s="17" t="s">
        <v>24</v>
      </c>
      <c r="G22" s="17" t="s">
        <v>10</v>
      </c>
      <c r="H22" s="17">
        <v>55</v>
      </c>
    </row>
    <row r="23" spans="1:8">
      <c r="A23" s="17" t="s">
        <v>35</v>
      </c>
      <c r="B23" s="17">
        <v>336</v>
      </c>
      <c r="C23" s="17">
        <v>21</v>
      </c>
      <c r="D23" s="18">
        <v>46048.7763888889</v>
      </c>
      <c r="E23" s="17">
        <v>99</v>
      </c>
      <c r="F23" s="17" t="s">
        <v>12</v>
      </c>
      <c r="G23" s="17" t="s">
        <v>10</v>
      </c>
      <c r="H23" s="17">
        <v>59</v>
      </c>
    </row>
    <row r="24" spans="1:8">
      <c r="A24" s="17" t="s">
        <v>36</v>
      </c>
      <c r="B24" s="17">
        <v>110</v>
      </c>
      <c r="C24" s="17">
        <v>33</v>
      </c>
      <c r="D24" s="18">
        <v>46037.6131944444</v>
      </c>
      <c r="E24" s="17">
        <v>799</v>
      </c>
      <c r="F24" s="17" t="s">
        <v>12</v>
      </c>
      <c r="G24" s="17" t="s">
        <v>10</v>
      </c>
      <c r="H24" s="17">
        <v>60</v>
      </c>
    </row>
    <row r="25" spans="1:8">
      <c r="A25" s="17" t="s">
        <v>37</v>
      </c>
      <c r="B25" s="17">
        <v>338</v>
      </c>
      <c r="C25" s="17">
        <v>6</v>
      </c>
      <c r="D25" s="18">
        <v>46048.9652777778</v>
      </c>
      <c r="E25" s="17">
        <v>799</v>
      </c>
      <c r="F25" s="17" t="s">
        <v>12</v>
      </c>
      <c r="G25" s="17" t="s">
        <v>38</v>
      </c>
      <c r="H25" s="17">
        <v>36</v>
      </c>
    </row>
    <row r="26" spans="1:8">
      <c r="A26" s="17" t="s">
        <v>39</v>
      </c>
      <c r="B26" s="17">
        <v>318</v>
      </c>
      <c r="C26" s="17">
        <v>22</v>
      </c>
      <c r="D26" s="18">
        <v>46039.9027777778</v>
      </c>
      <c r="E26" s="17">
        <v>799</v>
      </c>
      <c r="F26" s="17" t="s">
        <v>9</v>
      </c>
      <c r="G26" s="17" t="s">
        <v>10</v>
      </c>
      <c r="H26" s="17">
        <v>11</v>
      </c>
    </row>
    <row r="27" spans="1:8">
      <c r="A27" s="17" t="s">
        <v>40</v>
      </c>
      <c r="B27" s="17">
        <v>159</v>
      </c>
      <c r="C27" s="17">
        <v>15</v>
      </c>
      <c r="D27" s="18">
        <v>46049.3215277778</v>
      </c>
      <c r="E27" s="17">
        <v>799</v>
      </c>
      <c r="F27" s="17" t="s">
        <v>12</v>
      </c>
      <c r="G27" s="17" t="s">
        <v>10</v>
      </c>
      <c r="H27" s="17">
        <v>25</v>
      </c>
    </row>
    <row r="28" spans="1:8">
      <c r="A28" s="17" t="s">
        <v>41</v>
      </c>
      <c r="B28" s="17">
        <v>126</v>
      </c>
      <c r="C28" s="17">
        <v>31</v>
      </c>
      <c r="D28" s="18">
        <v>46027.0013888889</v>
      </c>
      <c r="E28" s="17">
        <v>49</v>
      </c>
      <c r="F28" s="17" t="s">
        <v>24</v>
      </c>
      <c r="G28" s="17" t="s">
        <v>10</v>
      </c>
      <c r="H28" s="17">
        <v>78</v>
      </c>
    </row>
    <row r="29" spans="1:8">
      <c r="A29" s="17" t="s">
        <v>42</v>
      </c>
      <c r="B29" s="17">
        <v>213</v>
      </c>
      <c r="C29" s="17">
        <v>37</v>
      </c>
      <c r="D29" s="18">
        <v>46050.1034722222</v>
      </c>
      <c r="E29" s="17">
        <v>99</v>
      </c>
      <c r="F29" s="17" t="s">
        <v>12</v>
      </c>
      <c r="G29" s="17" t="s">
        <v>10</v>
      </c>
      <c r="H29" s="17">
        <v>24</v>
      </c>
    </row>
    <row r="30" spans="1:8">
      <c r="A30" s="17" t="s">
        <v>43</v>
      </c>
      <c r="B30" s="17">
        <v>254</v>
      </c>
      <c r="C30" s="17">
        <v>26</v>
      </c>
      <c r="D30" s="18">
        <v>46045.9333333333</v>
      </c>
      <c r="E30" s="17">
        <v>99</v>
      </c>
      <c r="F30" s="17" t="s">
        <v>9</v>
      </c>
      <c r="G30" s="17" t="s">
        <v>10</v>
      </c>
      <c r="H30" s="17">
        <v>31</v>
      </c>
    </row>
    <row r="31" spans="1:8">
      <c r="A31" s="17" t="s">
        <v>44</v>
      </c>
      <c r="B31" s="17">
        <v>3</v>
      </c>
      <c r="C31" s="17">
        <v>7</v>
      </c>
      <c r="D31" s="18">
        <v>46027.8638888889</v>
      </c>
      <c r="E31" s="17">
        <v>1499</v>
      </c>
      <c r="F31" s="17" t="s">
        <v>12</v>
      </c>
      <c r="G31" s="17" t="s">
        <v>10</v>
      </c>
      <c r="H31" s="17">
        <v>99</v>
      </c>
    </row>
    <row r="32" spans="1:8">
      <c r="A32" s="17" t="s">
        <v>45</v>
      </c>
      <c r="B32" s="17">
        <v>266</v>
      </c>
      <c r="C32" s="17">
        <v>30</v>
      </c>
      <c r="D32" s="18">
        <v>46036.2993055556</v>
      </c>
      <c r="E32" s="17">
        <v>499</v>
      </c>
      <c r="F32" s="17" t="s">
        <v>24</v>
      </c>
      <c r="G32" s="17" t="s">
        <v>10</v>
      </c>
      <c r="H32" s="17">
        <v>6</v>
      </c>
    </row>
    <row r="33" spans="1:8">
      <c r="A33" s="17" t="s">
        <v>46</v>
      </c>
      <c r="B33" s="17">
        <v>63</v>
      </c>
      <c r="C33" s="17">
        <v>30</v>
      </c>
      <c r="D33" s="18">
        <v>46040.3319444444</v>
      </c>
      <c r="E33" s="17">
        <v>799</v>
      </c>
      <c r="F33" s="17" t="s">
        <v>12</v>
      </c>
      <c r="G33" s="17" t="s">
        <v>10</v>
      </c>
      <c r="H33" s="17">
        <v>17</v>
      </c>
    </row>
    <row r="34" spans="1:8">
      <c r="A34" s="17" t="s">
        <v>47</v>
      </c>
      <c r="B34" s="17">
        <v>272</v>
      </c>
      <c r="C34" s="17">
        <v>36</v>
      </c>
      <c r="D34" s="18">
        <v>46048.6125</v>
      </c>
      <c r="E34" s="17">
        <v>149</v>
      </c>
      <c r="F34" s="17" t="s">
        <v>12</v>
      </c>
      <c r="G34" s="17" t="s">
        <v>10</v>
      </c>
      <c r="H34" s="17">
        <v>76</v>
      </c>
    </row>
    <row r="35" spans="1:8">
      <c r="A35" s="17" t="s">
        <v>48</v>
      </c>
      <c r="B35" s="17">
        <v>259</v>
      </c>
      <c r="C35" s="17">
        <v>28</v>
      </c>
      <c r="D35" s="18">
        <v>46033.6104166667</v>
      </c>
      <c r="E35" s="17">
        <v>49</v>
      </c>
      <c r="F35" s="17" t="s">
        <v>9</v>
      </c>
      <c r="G35" s="17" t="s">
        <v>10</v>
      </c>
      <c r="H35" s="17">
        <v>70</v>
      </c>
    </row>
    <row r="36" spans="1:8">
      <c r="A36" s="17" t="s">
        <v>49</v>
      </c>
      <c r="B36" s="17">
        <v>244</v>
      </c>
      <c r="C36" s="17">
        <v>29</v>
      </c>
      <c r="D36" s="18">
        <v>46037.2409722222</v>
      </c>
      <c r="E36" s="17">
        <v>299</v>
      </c>
      <c r="F36" s="17" t="s">
        <v>15</v>
      </c>
      <c r="G36" s="17" t="s">
        <v>10</v>
      </c>
      <c r="H36" s="17">
        <v>33</v>
      </c>
    </row>
    <row r="37" spans="1:8">
      <c r="A37" s="17" t="s">
        <v>50</v>
      </c>
      <c r="B37" s="17">
        <v>327</v>
      </c>
      <c r="C37" s="17">
        <v>18</v>
      </c>
      <c r="D37" s="18">
        <v>46047.3284722222</v>
      </c>
      <c r="E37" s="17">
        <v>149</v>
      </c>
      <c r="F37" s="17" t="s">
        <v>24</v>
      </c>
      <c r="G37" s="17" t="s">
        <v>10</v>
      </c>
      <c r="H37" s="17">
        <v>98</v>
      </c>
    </row>
    <row r="38" spans="1:8">
      <c r="A38" s="17" t="s">
        <v>51</v>
      </c>
      <c r="B38" s="17">
        <v>321</v>
      </c>
      <c r="C38" s="17">
        <v>16</v>
      </c>
      <c r="D38" s="18">
        <v>46047.6881944444</v>
      </c>
      <c r="E38" s="17">
        <v>49</v>
      </c>
      <c r="F38" s="17" t="s">
        <v>12</v>
      </c>
      <c r="G38" s="17" t="s">
        <v>10</v>
      </c>
      <c r="H38" s="17">
        <v>35</v>
      </c>
    </row>
    <row r="39" spans="1:8">
      <c r="A39" s="17" t="s">
        <v>52</v>
      </c>
      <c r="B39" s="17">
        <v>147</v>
      </c>
      <c r="C39" s="17">
        <v>16</v>
      </c>
      <c r="D39" s="18">
        <v>46037.1145833333</v>
      </c>
      <c r="E39" s="17">
        <v>2999</v>
      </c>
      <c r="F39" s="17" t="s">
        <v>24</v>
      </c>
      <c r="G39" s="17" t="s">
        <v>10</v>
      </c>
      <c r="H39" s="17">
        <v>34</v>
      </c>
    </row>
    <row r="40" spans="1:8">
      <c r="A40" s="17" t="s">
        <v>53</v>
      </c>
      <c r="B40" s="17">
        <v>277</v>
      </c>
      <c r="C40" s="17">
        <v>6</v>
      </c>
      <c r="D40" s="18">
        <v>46033.45625</v>
      </c>
      <c r="E40" s="17">
        <v>1499</v>
      </c>
      <c r="F40" s="17" t="s">
        <v>24</v>
      </c>
      <c r="G40" s="17" t="s">
        <v>10</v>
      </c>
      <c r="H40" s="17">
        <v>17</v>
      </c>
    </row>
    <row r="41" spans="1:8">
      <c r="A41" s="17" t="s">
        <v>54</v>
      </c>
      <c r="B41" s="17">
        <v>79</v>
      </c>
      <c r="C41" s="17">
        <v>14</v>
      </c>
      <c r="D41" s="18">
        <v>46027.3083333333</v>
      </c>
      <c r="E41" s="17">
        <v>1499</v>
      </c>
      <c r="F41" s="17" t="s">
        <v>12</v>
      </c>
      <c r="G41" s="17" t="s">
        <v>10</v>
      </c>
      <c r="H41" s="17">
        <v>8</v>
      </c>
    </row>
    <row r="42" spans="1:8">
      <c r="A42" s="17" t="s">
        <v>55</v>
      </c>
      <c r="B42" s="17">
        <v>278</v>
      </c>
      <c r="C42" s="17">
        <v>30</v>
      </c>
      <c r="D42" s="18">
        <v>46036.55625</v>
      </c>
      <c r="E42" s="17">
        <v>1499</v>
      </c>
      <c r="F42" s="17" t="s">
        <v>12</v>
      </c>
      <c r="G42" s="17" t="s">
        <v>10</v>
      </c>
      <c r="H42" s="17">
        <v>53</v>
      </c>
    </row>
    <row r="43" spans="1:8">
      <c r="A43" s="17" t="s">
        <v>56</v>
      </c>
      <c r="B43" s="17">
        <v>216</v>
      </c>
      <c r="C43" s="17">
        <v>25</v>
      </c>
      <c r="D43" s="18">
        <v>46024.2868055556</v>
      </c>
      <c r="E43" s="17">
        <v>99</v>
      </c>
      <c r="F43" s="17" t="s">
        <v>12</v>
      </c>
      <c r="G43" s="17" t="s">
        <v>10</v>
      </c>
      <c r="H43" s="17">
        <v>98</v>
      </c>
    </row>
    <row r="44" spans="1:8">
      <c r="A44" s="17" t="s">
        <v>57</v>
      </c>
      <c r="B44" s="17">
        <v>295</v>
      </c>
      <c r="C44" s="17">
        <v>25</v>
      </c>
      <c r="D44" s="18">
        <v>46041.9173611111</v>
      </c>
      <c r="E44" s="17">
        <v>1499</v>
      </c>
      <c r="F44" s="17" t="s">
        <v>12</v>
      </c>
      <c r="G44" s="17" t="s">
        <v>10</v>
      </c>
      <c r="H44" s="17">
        <v>61</v>
      </c>
    </row>
    <row r="45" spans="1:8">
      <c r="A45" s="17" t="s">
        <v>58</v>
      </c>
      <c r="B45" s="17">
        <v>200</v>
      </c>
      <c r="C45" s="17">
        <v>27</v>
      </c>
      <c r="D45" s="18">
        <v>46023.4715277778</v>
      </c>
      <c r="E45" s="17">
        <v>149</v>
      </c>
      <c r="F45" s="17" t="s">
        <v>12</v>
      </c>
      <c r="G45" s="17" t="s">
        <v>10</v>
      </c>
      <c r="H45" s="17">
        <v>68</v>
      </c>
    </row>
    <row r="46" spans="1:8">
      <c r="A46" s="17" t="s">
        <v>59</v>
      </c>
      <c r="B46" s="17">
        <v>309</v>
      </c>
      <c r="C46" s="17">
        <v>15</v>
      </c>
      <c r="D46" s="18">
        <v>46046.9819444444</v>
      </c>
      <c r="E46" s="17">
        <v>99</v>
      </c>
      <c r="F46" s="17" t="s">
        <v>15</v>
      </c>
      <c r="G46" s="17" t="s">
        <v>10</v>
      </c>
      <c r="H46" s="17">
        <v>62</v>
      </c>
    </row>
    <row r="47" spans="1:8">
      <c r="A47" s="17" t="s">
        <v>60</v>
      </c>
      <c r="B47" s="17">
        <v>249</v>
      </c>
      <c r="C47" s="17">
        <v>2</v>
      </c>
      <c r="D47" s="18">
        <v>46030.3520833333</v>
      </c>
      <c r="E47" s="17">
        <v>299</v>
      </c>
      <c r="F47" s="17" t="s">
        <v>9</v>
      </c>
      <c r="G47" s="17" t="s">
        <v>10</v>
      </c>
      <c r="H47" s="17">
        <v>49</v>
      </c>
    </row>
    <row r="48" spans="1:8">
      <c r="A48" s="17" t="s">
        <v>61</v>
      </c>
      <c r="B48" s="17">
        <v>208</v>
      </c>
      <c r="C48" s="17">
        <v>11</v>
      </c>
      <c r="D48" s="18">
        <v>46033.9048611111</v>
      </c>
      <c r="E48" s="17">
        <v>4999</v>
      </c>
      <c r="F48" s="17" t="s">
        <v>15</v>
      </c>
      <c r="G48" s="17" t="s">
        <v>10</v>
      </c>
      <c r="H48" s="17">
        <v>59</v>
      </c>
    </row>
    <row r="49" spans="1:8">
      <c r="A49" s="17" t="s">
        <v>62</v>
      </c>
      <c r="B49" s="17">
        <v>274</v>
      </c>
      <c r="C49" s="17">
        <v>2</v>
      </c>
      <c r="D49" s="18">
        <v>46052.19375</v>
      </c>
      <c r="E49" s="17">
        <v>299</v>
      </c>
      <c r="F49" s="17" t="s">
        <v>12</v>
      </c>
      <c r="G49" s="17" t="s">
        <v>10</v>
      </c>
      <c r="H49" s="17">
        <v>50</v>
      </c>
    </row>
    <row r="50" spans="1:8">
      <c r="A50" s="17" t="s">
        <v>63</v>
      </c>
      <c r="B50" s="17">
        <v>14</v>
      </c>
      <c r="C50" s="17">
        <v>6</v>
      </c>
      <c r="D50" s="18">
        <v>46041.7791666667</v>
      </c>
      <c r="E50" s="17">
        <v>49</v>
      </c>
      <c r="F50" s="17" t="s">
        <v>9</v>
      </c>
      <c r="G50" s="17" t="s">
        <v>10</v>
      </c>
      <c r="H50" s="17">
        <v>82</v>
      </c>
    </row>
    <row r="51" spans="1:8">
      <c r="A51" s="17" t="s">
        <v>64</v>
      </c>
      <c r="B51" s="17">
        <v>237</v>
      </c>
      <c r="C51" s="17">
        <v>12</v>
      </c>
      <c r="D51" s="18">
        <v>46036.2048611111</v>
      </c>
      <c r="E51" s="17">
        <v>49</v>
      </c>
      <c r="F51" s="17" t="s">
        <v>12</v>
      </c>
      <c r="G51" s="17" t="s">
        <v>10</v>
      </c>
      <c r="H51" s="17">
        <v>6</v>
      </c>
    </row>
    <row r="52" spans="1:8">
      <c r="A52" s="17" t="s">
        <v>65</v>
      </c>
      <c r="B52" s="17">
        <v>109</v>
      </c>
      <c r="C52" s="17">
        <v>30</v>
      </c>
      <c r="D52" s="18">
        <v>46031.5138888889</v>
      </c>
      <c r="E52" s="17">
        <v>99</v>
      </c>
      <c r="F52" s="17" t="s">
        <v>12</v>
      </c>
      <c r="G52" s="17" t="s">
        <v>10</v>
      </c>
      <c r="H52" s="17">
        <v>41</v>
      </c>
    </row>
    <row r="53" spans="1:8">
      <c r="A53" s="17" t="s">
        <v>66</v>
      </c>
      <c r="B53" s="17">
        <v>216</v>
      </c>
      <c r="C53" s="17">
        <v>17</v>
      </c>
      <c r="D53" s="18">
        <v>46033.5118055556</v>
      </c>
      <c r="E53" s="17">
        <v>4999</v>
      </c>
      <c r="F53" s="17" t="s">
        <v>12</v>
      </c>
      <c r="G53" s="17" t="s">
        <v>10</v>
      </c>
      <c r="H53" s="17">
        <v>10</v>
      </c>
    </row>
    <row r="54" spans="1:8">
      <c r="A54" s="17" t="s">
        <v>67</v>
      </c>
      <c r="B54" s="17">
        <v>277</v>
      </c>
      <c r="C54" s="17">
        <v>4</v>
      </c>
      <c r="D54" s="18">
        <v>46038.0326388889</v>
      </c>
      <c r="E54" s="17">
        <v>799</v>
      </c>
      <c r="F54" s="17" t="s">
        <v>12</v>
      </c>
      <c r="G54" s="17" t="s">
        <v>10</v>
      </c>
      <c r="H54" s="17">
        <v>44</v>
      </c>
    </row>
    <row r="55" spans="1:8">
      <c r="A55" s="17" t="s">
        <v>68</v>
      </c>
      <c r="B55" s="17">
        <v>334</v>
      </c>
      <c r="C55" s="17">
        <v>3</v>
      </c>
      <c r="D55" s="18">
        <v>46030.8361111111</v>
      </c>
      <c r="E55" s="17">
        <v>149</v>
      </c>
      <c r="F55" s="17" t="s">
        <v>9</v>
      </c>
      <c r="G55" s="17" t="s">
        <v>10</v>
      </c>
      <c r="H55" s="17">
        <v>96</v>
      </c>
    </row>
    <row r="56" spans="1:8">
      <c r="A56" s="17" t="s">
        <v>69</v>
      </c>
      <c r="B56" s="17">
        <v>11</v>
      </c>
      <c r="C56" s="17">
        <v>40</v>
      </c>
      <c r="D56" s="18">
        <v>46023.3</v>
      </c>
      <c r="E56" s="17">
        <v>299</v>
      </c>
      <c r="F56" s="17" t="s">
        <v>12</v>
      </c>
      <c r="G56" s="17" t="s">
        <v>10</v>
      </c>
      <c r="H56" s="17">
        <v>19</v>
      </c>
    </row>
    <row r="57" spans="1:8">
      <c r="A57" s="17" t="s">
        <v>70</v>
      </c>
      <c r="B57" s="17">
        <v>343</v>
      </c>
      <c r="C57" s="17">
        <v>8</v>
      </c>
      <c r="D57" s="18">
        <v>46030.1875</v>
      </c>
      <c r="E57" s="17">
        <v>99</v>
      </c>
      <c r="F57" s="17" t="s">
        <v>12</v>
      </c>
      <c r="G57" s="17" t="s">
        <v>10</v>
      </c>
      <c r="H57" s="17">
        <v>72</v>
      </c>
    </row>
    <row r="58" spans="1:8">
      <c r="A58" s="17" t="s">
        <v>71</v>
      </c>
      <c r="B58" s="17">
        <v>132</v>
      </c>
      <c r="C58" s="17">
        <v>24</v>
      </c>
      <c r="D58" s="18">
        <v>46029.6138888889</v>
      </c>
      <c r="E58" s="17">
        <v>299</v>
      </c>
      <c r="F58" s="17" t="s">
        <v>9</v>
      </c>
      <c r="G58" s="17" t="s">
        <v>10</v>
      </c>
      <c r="H58" s="17">
        <v>21</v>
      </c>
    </row>
    <row r="59" spans="1:8">
      <c r="A59" s="17" t="s">
        <v>72</v>
      </c>
      <c r="B59" s="17">
        <v>59</v>
      </c>
      <c r="C59" s="17">
        <v>11</v>
      </c>
      <c r="D59" s="18">
        <v>46042.8243055556</v>
      </c>
      <c r="E59" s="17">
        <v>299</v>
      </c>
      <c r="F59" s="17" t="s">
        <v>12</v>
      </c>
      <c r="G59" s="17" t="s">
        <v>10</v>
      </c>
      <c r="H59" s="17">
        <v>39</v>
      </c>
    </row>
    <row r="60" spans="1:8">
      <c r="A60" s="17" t="s">
        <v>73</v>
      </c>
      <c r="B60" s="17">
        <v>160</v>
      </c>
      <c r="C60" s="17">
        <v>37</v>
      </c>
      <c r="D60" s="18">
        <v>46026.7506944444</v>
      </c>
      <c r="E60" s="17">
        <v>49</v>
      </c>
      <c r="F60" s="17" t="s">
        <v>9</v>
      </c>
      <c r="G60" s="17" t="s">
        <v>10</v>
      </c>
      <c r="H60" s="17">
        <v>86</v>
      </c>
    </row>
    <row r="61" spans="1:8">
      <c r="A61" s="17" t="s">
        <v>74</v>
      </c>
      <c r="B61" s="17">
        <v>102</v>
      </c>
      <c r="C61" s="17">
        <v>5</v>
      </c>
      <c r="D61" s="18">
        <v>46052.5173611111</v>
      </c>
      <c r="E61" s="17">
        <v>2999</v>
      </c>
      <c r="F61" s="17" t="s">
        <v>12</v>
      </c>
      <c r="G61" s="17" t="s">
        <v>10</v>
      </c>
      <c r="H61" s="17">
        <v>75</v>
      </c>
    </row>
    <row r="62" spans="1:8">
      <c r="A62" s="17" t="s">
        <v>75</v>
      </c>
      <c r="B62" s="17">
        <v>53</v>
      </c>
      <c r="C62" s="17">
        <v>20</v>
      </c>
      <c r="D62" s="18">
        <v>46045.84375</v>
      </c>
      <c r="E62" s="17">
        <v>49</v>
      </c>
      <c r="F62" s="17" t="s">
        <v>15</v>
      </c>
      <c r="G62" s="17" t="s">
        <v>10</v>
      </c>
      <c r="H62" s="17">
        <v>87</v>
      </c>
    </row>
    <row r="63" spans="1:8">
      <c r="A63" s="17" t="s">
        <v>76</v>
      </c>
      <c r="B63" s="17">
        <v>290</v>
      </c>
      <c r="C63" s="17">
        <v>3</v>
      </c>
      <c r="D63" s="18">
        <v>46042.1597222222</v>
      </c>
      <c r="E63" s="17">
        <v>99</v>
      </c>
      <c r="F63" s="17" t="s">
        <v>9</v>
      </c>
      <c r="G63" s="17" t="s">
        <v>10</v>
      </c>
      <c r="H63" s="17">
        <v>44</v>
      </c>
    </row>
    <row r="64" spans="1:8">
      <c r="A64" s="17" t="s">
        <v>77</v>
      </c>
      <c r="B64" s="17">
        <v>190</v>
      </c>
      <c r="C64" s="17">
        <v>5</v>
      </c>
      <c r="D64" s="18">
        <v>46040.5708333333</v>
      </c>
      <c r="E64" s="17">
        <v>299</v>
      </c>
      <c r="F64" s="17" t="s">
        <v>12</v>
      </c>
      <c r="G64" s="17" t="s">
        <v>10</v>
      </c>
      <c r="H64" s="17">
        <v>64</v>
      </c>
    </row>
    <row r="65" spans="1:8">
      <c r="A65" s="17" t="s">
        <v>78</v>
      </c>
      <c r="B65" s="17">
        <v>216</v>
      </c>
      <c r="C65" s="17">
        <v>32</v>
      </c>
      <c r="D65" s="18">
        <v>46043.4166666667</v>
      </c>
      <c r="E65" s="17">
        <v>49</v>
      </c>
      <c r="F65" s="17" t="s">
        <v>24</v>
      </c>
      <c r="G65" s="17" t="s">
        <v>10</v>
      </c>
      <c r="H65" s="17">
        <v>13</v>
      </c>
    </row>
    <row r="66" spans="1:8">
      <c r="A66" s="17" t="s">
        <v>79</v>
      </c>
      <c r="B66" s="17">
        <v>236</v>
      </c>
      <c r="C66" s="17">
        <v>10</v>
      </c>
      <c r="D66" s="18">
        <v>46036.4861111111</v>
      </c>
      <c r="E66" s="17">
        <v>499</v>
      </c>
      <c r="F66" s="17" t="s">
        <v>12</v>
      </c>
      <c r="G66" s="17" t="s">
        <v>10</v>
      </c>
      <c r="H66" s="17">
        <v>55</v>
      </c>
    </row>
    <row r="67" spans="1:8">
      <c r="A67" s="17" t="s">
        <v>80</v>
      </c>
      <c r="B67" s="17">
        <v>334</v>
      </c>
      <c r="C67" s="17">
        <v>18</v>
      </c>
      <c r="D67" s="18">
        <v>46028.98125</v>
      </c>
      <c r="E67" s="17">
        <v>499</v>
      </c>
      <c r="F67" s="17" t="s">
        <v>24</v>
      </c>
      <c r="G67" s="17" t="s">
        <v>10</v>
      </c>
      <c r="H67" s="17">
        <v>78</v>
      </c>
    </row>
    <row r="68" spans="1:8">
      <c r="A68" s="17" t="s">
        <v>81</v>
      </c>
      <c r="B68" s="17">
        <v>248</v>
      </c>
      <c r="C68" s="17">
        <v>30</v>
      </c>
      <c r="D68" s="18">
        <v>46048.7423611111</v>
      </c>
      <c r="E68" s="17">
        <v>799</v>
      </c>
      <c r="F68" s="17" t="s">
        <v>9</v>
      </c>
      <c r="G68" s="17" t="s">
        <v>10</v>
      </c>
      <c r="H68" s="17">
        <v>55</v>
      </c>
    </row>
    <row r="69" spans="1:8">
      <c r="A69" s="17" t="s">
        <v>82</v>
      </c>
      <c r="B69" s="17">
        <v>138</v>
      </c>
      <c r="C69" s="17">
        <v>21</v>
      </c>
      <c r="D69" s="18">
        <v>46049.9840277778</v>
      </c>
      <c r="E69" s="17">
        <v>49</v>
      </c>
      <c r="F69" s="17" t="s">
        <v>24</v>
      </c>
      <c r="G69" s="17" t="s">
        <v>10</v>
      </c>
      <c r="H69" s="17">
        <v>31</v>
      </c>
    </row>
    <row r="70" spans="1:8">
      <c r="A70" s="17" t="s">
        <v>83</v>
      </c>
      <c r="B70" s="17">
        <v>231</v>
      </c>
      <c r="C70" s="17">
        <v>16</v>
      </c>
      <c r="D70" s="18">
        <v>46049.0951388889</v>
      </c>
      <c r="E70" s="17">
        <v>49</v>
      </c>
      <c r="F70" s="17" t="s">
        <v>12</v>
      </c>
      <c r="G70" s="17" t="s">
        <v>10</v>
      </c>
      <c r="H70" s="17">
        <v>96</v>
      </c>
    </row>
    <row r="71" spans="1:8">
      <c r="A71" s="17" t="s">
        <v>84</v>
      </c>
      <c r="B71" s="17">
        <v>343</v>
      </c>
      <c r="C71" s="17">
        <v>25</v>
      </c>
      <c r="D71" s="18">
        <v>46037.7770833333</v>
      </c>
      <c r="E71" s="17">
        <v>49</v>
      </c>
      <c r="F71" s="17" t="s">
        <v>12</v>
      </c>
      <c r="G71" s="17" t="s">
        <v>10</v>
      </c>
      <c r="H71" s="17">
        <v>43</v>
      </c>
    </row>
    <row r="72" spans="1:8">
      <c r="A72" s="17" t="s">
        <v>85</v>
      </c>
      <c r="B72" s="17">
        <v>167</v>
      </c>
      <c r="C72" s="17">
        <v>12</v>
      </c>
      <c r="D72" s="18">
        <v>46023.6625</v>
      </c>
      <c r="E72" s="17">
        <v>499</v>
      </c>
      <c r="F72" s="17" t="s">
        <v>9</v>
      </c>
      <c r="G72" s="17" t="s">
        <v>10</v>
      </c>
      <c r="H72" s="17">
        <v>62</v>
      </c>
    </row>
    <row r="73" spans="1:8">
      <c r="A73" s="17" t="s">
        <v>86</v>
      </c>
      <c r="B73" s="17">
        <v>133</v>
      </c>
      <c r="C73" s="17">
        <v>22</v>
      </c>
      <c r="D73" s="18">
        <v>46029.49375</v>
      </c>
      <c r="E73" s="17">
        <v>499</v>
      </c>
      <c r="F73" s="17" t="s">
        <v>12</v>
      </c>
      <c r="G73" s="17" t="s">
        <v>10</v>
      </c>
      <c r="H73" s="17">
        <v>35</v>
      </c>
    </row>
    <row r="74" spans="1:8">
      <c r="A74" s="17" t="s">
        <v>87</v>
      </c>
      <c r="B74" s="17">
        <v>142</v>
      </c>
      <c r="C74" s="17">
        <v>36</v>
      </c>
      <c r="D74" s="18">
        <v>46051.8222222222</v>
      </c>
      <c r="E74" s="17">
        <v>799</v>
      </c>
      <c r="F74" s="17" t="s">
        <v>9</v>
      </c>
      <c r="G74" s="17" t="s">
        <v>10</v>
      </c>
      <c r="H74" s="17">
        <v>1</v>
      </c>
    </row>
    <row r="75" spans="1:8">
      <c r="A75" s="17" t="s">
        <v>88</v>
      </c>
      <c r="B75" s="17">
        <v>124</v>
      </c>
      <c r="C75" s="17">
        <v>27</v>
      </c>
      <c r="D75" s="18">
        <v>46039.2534722222</v>
      </c>
      <c r="E75" s="17">
        <v>499</v>
      </c>
      <c r="F75" s="17" t="s">
        <v>9</v>
      </c>
      <c r="G75" s="17" t="s">
        <v>10</v>
      </c>
      <c r="H75" s="17">
        <v>62</v>
      </c>
    </row>
    <row r="76" spans="1:8">
      <c r="A76" s="17" t="s">
        <v>89</v>
      </c>
      <c r="B76" s="17">
        <v>244</v>
      </c>
      <c r="C76" s="17">
        <v>32</v>
      </c>
      <c r="D76" s="18">
        <v>46040.3222222222</v>
      </c>
      <c r="E76" s="17">
        <v>149</v>
      </c>
      <c r="F76" s="17" t="s">
        <v>12</v>
      </c>
      <c r="G76" s="17" t="s">
        <v>10</v>
      </c>
      <c r="H76" s="17">
        <v>57</v>
      </c>
    </row>
    <row r="77" spans="1:8">
      <c r="A77" s="17" t="s">
        <v>90</v>
      </c>
      <c r="B77" s="17">
        <v>151</v>
      </c>
      <c r="C77" s="17">
        <v>15</v>
      </c>
      <c r="D77" s="18">
        <v>46048.0034722222</v>
      </c>
      <c r="E77" s="17">
        <v>4999</v>
      </c>
      <c r="F77" s="17" t="s">
        <v>12</v>
      </c>
      <c r="G77" s="17" t="s">
        <v>10</v>
      </c>
      <c r="H77" s="17">
        <v>51</v>
      </c>
    </row>
    <row r="78" spans="1:8">
      <c r="A78" s="17" t="s">
        <v>91</v>
      </c>
      <c r="B78" s="17">
        <v>340</v>
      </c>
      <c r="C78" s="17">
        <v>38</v>
      </c>
      <c r="D78" s="18">
        <v>46045.3048611111</v>
      </c>
      <c r="E78" s="17">
        <v>499</v>
      </c>
      <c r="F78" s="17" t="s">
        <v>24</v>
      </c>
      <c r="G78" s="17" t="s">
        <v>10</v>
      </c>
      <c r="H78" s="17">
        <v>47</v>
      </c>
    </row>
    <row r="79" spans="1:8">
      <c r="A79" s="17" t="s">
        <v>92</v>
      </c>
      <c r="B79" s="17">
        <v>177</v>
      </c>
      <c r="C79" s="17">
        <v>28</v>
      </c>
      <c r="D79" s="18">
        <v>46038.73125</v>
      </c>
      <c r="E79" s="17">
        <v>299</v>
      </c>
      <c r="F79" s="17" t="s">
        <v>12</v>
      </c>
      <c r="G79" s="17" t="s">
        <v>10</v>
      </c>
      <c r="H79" s="17">
        <v>95</v>
      </c>
    </row>
    <row r="80" spans="1:8">
      <c r="A80" s="17" t="s">
        <v>93</v>
      </c>
      <c r="B80" s="17">
        <v>233</v>
      </c>
      <c r="C80" s="17">
        <v>18</v>
      </c>
      <c r="D80" s="18">
        <v>46040.4319444444</v>
      </c>
      <c r="E80" s="17">
        <v>499</v>
      </c>
      <c r="F80" s="17" t="s">
        <v>12</v>
      </c>
      <c r="G80" s="17" t="s">
        <v>10</v>
      </c>
      <c r="H80" s="17">
        <v>39</v>
      </c>
    </row>
    <row r="81" spans="1:8">
      <c r="A81" s="17" t="s">
        <v>94</v>
      </c>
      <c r="B81" s="17">
        <v>99</v>
      </c>
      <c r="C81" s="17">
        <v>21</v>
      </c>
      <c r="D81" s="18">
        <v>46031.2965277778</v>
      </c>
      <c r="E81" s="17">
        <v>499</v>
      </c>
      <c r="F81" s="17" t="s">
        <v>12</v>
      </c>
      <c r="G81" s="17" t="s">
        <v>10</v>
      </c>
      <c r="H81" s="17">
        <v>15</v>
      </c>
    </row>
    <row r="82" spans="1:8">
      <c r="A82" s="17" t="s">
        <v>95</v>
      </c>
      <c r="B82" s="17">
        <v>95</v>
      </c>
      <c r="C82" s="17">
        <v>13</v>
      </c>
      <c r="D82" s="18">
        <v>46046.7416666667</v>
      </c>
      <c r="E82" s="17">
        <v>2999</v>
      </c>
      <c r="F82" s="17" t="s">
        <v>15</v>
      </c>
      <c r="G82" s="17" t="s">
        <v>25</v>
      </c>
      <c r="H82" s="17">
        <v>27</v>
      </c>
    </row>
    <row r="83" spans="1:8">
      <c r="A83" s="17" t="s">
        <v>96</v>
      </c>
      <c r="B83" s="17">
        <v>302</v>
      </c>
      <c r="C83" s="17">
        <v>34</v>
      </c>
      <c r="D83" s="18">
        <v>46046.6368055556</v>
      </c>
      <c r="E83" s="17">
        <v>49</v>
      </c>
      <c r="F83" s="17" t="s">
        <v>15</v>
      </c>
      <c r="G83" s="17" t="s">
        <v>10</v>
      </c>
      <c r="H83" s="17">
        <v>76</v>
      </c>
    </row>
    <row r="84" spans="1:8">
      <c r="A84" s="17" t="s">
        <v>97</v>
      </c>
      <c r="B84" s="17">
        <v>100</v>
      </c>
      <c r="C84" s="17">
        <v>19</v>
      </c>
      <c r="D84" s="18">
        <v>46032.1618055556</v>
      </c>
      <c r="E84" s="17">
        <v>2999</v>
      </c>
      <c r="F84" s="17" t="s">
        <v>15</v>
      </c>
      <c r="G84" s="17" t="s">
        <v>10</v>
      </c>
      <c r="H84" s="17">
        <v>29</v>
      </c>
    </row>
    <row r="85" spans="1:8">
      <c r="A85" s="17" t="s">
        <v>98</v>
      </c>
      <c r="B85" s="17">
        <v>8</v>
      </c>
      <c r="C85" s="17">
        <v>35</v>
      </c>
      <c r="D85" s="18">
        <v>46034.2215277778</v>
      </c>
      <c r="E85" s="17">
        <v>99</v>
      </c>
      <c r="F85" s="17" t="s">
        <v>12</v>
      </c>
      <c r="G85" s="17" t="s">
        <v>10</v>
      </c>
      <c r="H85" s="17">
        <v>16</v>
      </c>
    </row>
    <row r="86" spans="1:8">
      <c r="A86" s="17" t="s">
        <v>99</v>
      </c>
      <c r="B86" s="17">
        <v>284</v>
      </c>
      <c r="C86" s="17">
        <v>19</v>
      </c>
      <c r="D86" s="18">
        <v>46031.04375</v>
      </c>
      <c r="E86" s="17">
        <v>99</v>
      </c>
      <c r="F86" s="17" t="s">
        <v>12</v>
      </c>
      <c r="G86" s="17" t="s">
        <v>10</v>
      </c>
      <c r="H86" s="17">
        <v>89</v>
      </c>
    </row>
    <row r="87" spans="1:8">
      <c r="A87" s="17" t="s">
        <v>100</v>
      </c>
      <c r="B87" s="17">
        <v>252</v>
      </c>
      <c r="C87" s="17">
        <v>7</v>
      </c>
      <c r="D87" s="18">
        <v>46027.8715277778</v>
      </c>
      <c r="E87" s="17">
        <v>2999</v>
      </c>
      <c r="F87" s="17" t="s">
        <v>9</v>
      </c>
      <c r="G87" s="17" t="s">
        <v>10</v>
      </c>
      <c r="H87" s="17">
        <v>1</v>
      </c>
    </row>
    <row r="88" spans="1:8">
      <c r="A88" s="17" t="s">
        <v>101</v>
      </c>
      <c r="B88" s="17">
        <v>246</v>
      </c>
      <c r="C88" s="17">
        <v>29</v>
      </c>
      <c r="D88" s="18">
        <v>46041.3958333333</v>
      </c>
      <c r="E88" s="17">
        <v>49</v>
      </c>
      <c r="F88" s="17" t="s">
        <v>9</v>
      </c>
      <c r="G88" s="17" t="s">
        <v>10</v>
      </c>
      <c r="H88" s="17">
        <v>43</v>
      </c>
    </row>
    <row r="89" spans="1:8">
      <c r="A89" s="17" t="s">
        <v>102</v>
      </c>
      <c r="B89" s="17">
        <v>245</v>
      </c>
      <c r="C89" s="17">
        <v>8</v>
      </c>
      <c r="D89" s="18">
        <v>46028.0527777778</v>
      </c>
      <c r="E89" s="17">
        <v>49</v>
      </c>
      <c r="F89" s="17" t="s">
        <v>12</v>
      </c>
      <c r="G89" s="17" t="s">
        <v>38</v>
      </c>
      <c r="H89" s="17">
        <v>8</v>
      </c>
    </row>
    <row r="90" spans="1:8">
      <c r="A90" s="17" t="s">
        <v>103</v>
      </c>
      <c r="B90" s="17">
        <v>296</v>
      </c>
      <c r="C90" s="17">
        <v>4</v>
      </c>
      <c r="D90" s="18">
        <v>46035.6277777778</v>
      </c>
      <c r="E90" s="17">
        <v>799</v>
      </c>
      <c r="F90" s="17" t="s">
        <v>9</v>
      </c>
      <c r="G90" s="17" t="s">
        <v>10</v>
      </c>
      <c r="H90" s="17">
        <v>19</v>
      </c>
    </row>
    <row r="91" spans="1:8">
      <c r="A91" s="17" t="s">
        <v>104</v>
      </c>
      <c r="B91" s="17">
        <v>44</v>
      </c>
      <c r="C91" s="17">
        <v>16</v>
      </c>
      <c r="D91" s="18">
        <v>46027.7631944444</v>
      </c>
      <c r="E91" s="17">
        <v>149</v>
      </c>
      <c r="F91" s="17" t="s">
        <v>12</v>
      </c>
      <c r="G91" s="17" t="s">
        <v>10</v>
      </c>
      <c r="H91" s="17">
        <v>15</v>
      </c>
    </row>
    <row r="92" spans="1:8">
      <c r="A92" s="17" t="s">
        <v>105</v>
      </c>
      <c r="B92" s="17">
        <v>306</v>
      </c>
      <c r="C92" s="17">
        <v>40</v>
      </c>
      <c r="D92" s="18">
        <v>46040.5680555556</v>
      </c>
      <c r="E92" s="17">
        <v>799</v>
      </c>
      <c r="F92" s="17" t="s">
        <v>24</v>
      </c>
      <c r="G92" s="17" t="s">
        <v>10</v>
      </c>
      <c r="H92" s="17">
        <v>28</v>
      </c>
    </row>
    <row r="93" spans="1:8">
      <c r="A93" s="17" t="s">
        <v>106</v>
      </c>
      <c r="B93" s="17">
        <v>231</v>
      </c>
      <c r="C93" s="17">
        <v>29</v>
      </c>
      <c r="D93" s="18">
        <v>46047.6833333333</v>
      </c>
      <c r="E93" s="17">
        <v>299</v>
      </c>
      <c r="F93" s="17" t="s">
        <v>12</v>
      </c>
      <c r="G93" s="17" t="s">
        <v>10</v>
      </c>
      <c r="H93" s="17">
        <v>38</v>
      </c>
    </row>
    <row r="94" spans="1:8">
      <c r="A94" s="17" t="s">
        <v>107</v>
      </c>
      <c r="B94" s="17">
        <v>157</v>
      </c>
      <c r="C94" s="17">
        <v>37</v>
      </c>
      <c r="D94" s="18">
        <v>46050.76875</v>
      </c>
      <c r="E94" s="17">
        <v>499</v>
      </c>
      <c r="F94" s="17" t="s">
        <v>9</v>
      </c>
      <c r="G94" s="17" t="s">
        <v>10</v>
      </c>
      <c r="H94" s="17">
        <v>79</v>
      </c>
    </row>
    <row r="95" spans="1:8">
      <c r="A95" s="17" t="s">
        <v>108</v>
      </c>
      <c r="B95" s="17">
        <v>51</v>
      </c>
      <c r="C95" s="17">
        <v>14</v>
      </c>
      <c r="D95" s="18">
        <v>46024.8243055556</v>
      </c>
      <c r="E95" s="17">
        <v>1499</v>
      </c>
      <c r="F95" s="17" t="s">
        <v>12</v>
      </c>
      <c r="G95" s="17" t="s">
        <v>10</v>
      </c>
      <c r="H95" s="17">
        <v>80</v>
      </c>
    </row>
    <row r="96" spans="1:8">
      <c r="A96" s="17" t="s">
        <v>109</v>
      </c>
      <c r="B96" s="17">
        <v>42</v>
      </c>
      <c r="C96" s="17">
        <v>11</v>
      </c>
      <c r="D96" s="18">
        <v>46029.3625</v>
      </c>
      <c r="E96" s="17">
        <v>49</v>
      </c>
      <c r="F96" s="17" t="s">
        <v>9</v>
      </c>
      <c r="G96" s="17" t="s">
        <v>10</v>
      </c>
      <c r="H96" s="17">
        <v>30</v>
      </c>
    </row>
    <row r="97" spans="1:8">
      <c r="A97" s="17" t="s">
        <v>110</v>
      </c>
      <c r="B97" s="17">
        <v>81</v>
      </c>
      <c r="C97" s="17">
        <v>1</v>
      </c>
      <c r="D97" s="18">
        <v>46028.7111111111</v>
      </c>
      <c r="E97" s="17">
        <v>149</v>
      </c>
      <c r="F97" s="17" t="s">
        <v>12</v>
      </c>
      <c r="G97" s="17" t="s">
        <v>10</v>
      </c>
      <c r="H97" s="17">
        <v>52</v>
      </c>
    </row>
    <row r="98" spans="1:8">
      <c r="A98" s="17" t="s">
        <v>111</v>
      </c>
      <c r="B98" s="17">
        <v>241</v>
      </c>
      <c r="C98" s="17">
        <v>19</v>
      </c>
      <c r="D98" s="18">
        <v>46037.9430555556</v>
      </c>
      <c r="E98" s="17">
        <v>299</v>
      </c>
      <c r="F98" s="17" t="s">
        <v>12</v>
      </c>
      <c r="G98" s="17" t="s">
        <v>10</v>
      </c>
      <c r="H98" s="17">
        <v>4</v>
      </c>
    </row>
    <row r="99" spans="1:8">
      <c r="A99" s="17" t="s">
        <v>112</v>
      </c>
      <c r="B99" s="17">
        <v>145</v>
      </c>
      <c r="C99" s="17">
        <v>30</v>
      </c>
      <c r="D99" s="18">
        <v>46030.40625</v>
      </c>
      <c r="E99" s="17">
        <v>799</v>
      </c>
      <c r="F99" s="17" t="s">
        <v>12</v>
      </c>
      <c r="G99" s="17" t="s">
        <v>10</v>
      </c>
      <c r="H99" s="17">
        <v>9</v>
      </c>
    </row>
    <row r="100" spans="1:8">
      <c r="A100" s="17" t="s">
        <v>113</v>
      </c>
      <c r="B100" s="17">
        <v>136</v>
      </c>
      <c r="C100" s="17">
        <v>38</v>
      </c>
      <c r="D100" s="18">
        <v>46044.3326388889</v>
      </c>
      <c r="E100" s="17">
        <v>299</v>
      </c>
      <c r="F100" s="17" t="s">
        <v>24</v>
      </c>
      <c r="G100" s="17" t="s">
        <v>10</v>
      </c>
      <c r="H100" s="17">
        <v>84</v>
      </c>
    </row>
    <row r="101" spans="1:8">
      <c r="A101" s="17" t="s">
        <v>114</v>
      </c>
      <c r="B101" s="17">
        <v>59</v>
      </c>
      <c r="C101" s="17">
        <v>35</v>
      </c>
      <c r="D101" s="18">
        <v>46048.26875</v>
      </c>
      <c r="E101" s="17">
        <v>499</v>
      </c>
      <c r="F101" s="17" t="s">
        <v>12</v>
      </c>
      <c r="G101" s="17" t="s">
        <v>10</v>
      </c>
      <c r="H101" s="17">
        <v>28</v>
      </c>
    </row>
    <row r="102" spans="1:8">
      <c r="A102" s="17" t="s">
        <v>115</v>
      </c>
      <c r="B102" s="17">
        <v>137</v>
      </c>
      <c r="C102" s="17">
        <v>10</v>
      </c>
      <c r="D102" s="18">
        <v>46043.2069444444</v>
      </c>
      <c r="E102" s="17">
        <v>299</v>
      </c>
      <c r="F102" s="17" t="s">
        <v>12</v>
      </c>
      <c r="G102" s="17" t="s">
        <v>10</v>
      </c>
      <c r="H102" s="17">
        <v>9</v>
      </c>
    </row>
    <row r="103" spans="1:8">
      <c r="A103" s="17" t="s">
        <v>116</v>
      </c>
      <c r="B103" s="17">
        <v>158</v>
      </c>
      <c r="C103" s="17">
        <v>39</v>
      </c>
      <c r="D103" s="18">
        <v>46024.2430555556</v>
      </c>
      <c r="E103" s="17">
        <v>499</v>
      </c>
      <c r="F103" s="17" t="s">
        <v>15</v>
      </c>
      <c r="G103" s="17" t="s">
        <v>10</v>
      </c>
      <c r="H103" s="17">
        <v>95</v>
      </c>
    </row>
    <row r="104" spans="1:8">
      <c r="A104" s="17" t="s">
        <v>117</v>
      </c>
      <c r="B104" s="17">
        <v>148</v>
      </c>
      <c r="C104" s="17">
        <v>29</v>
      </c>
      <c r="D104" s="18">
        <v>46049.7902777778</v>
      </c>
      <c r="E104" s="17">
        <v>99</v>
      </c>
      <c r="F104" s="17" t="s">
        <v>24</v>
      </c>
      <c r="G104" s="17" t="s">
        <v>10</v>
      </c>
      <c r="H104" s="17">
        <v>15</v>
      </c>
    </row>
    <row r="105" spans="1:8">
      <c r="A105" s="17" t="s">
        <v>118</v>
      </c>
      <c r="B105" s="17">
        <v>207</v>
      </c>
      <c r="C105" s="17">
        <v>18</v>
      </c>
      <c r="D105" s="18">
        <v>46037.9298611111</v>
      </c>
      <c r="E105" s="17">
        <v>149</v>
      </c>
      <c r="F105" s="17" t="s">
        <v>12</v>
      </c>
      <c r="G105" s="17" t="s">
        <v>10</v>
      </c>
      <c r="H105" s="17">
        <v>64</v>
      </c>
    </row>
    <row r="106" spans="1:8">
      <c r="A106" s="17" t="s">
        <v>119</v>
      </c>
      <c r="B106" s="17">
        <v>42</v>
      </c>
      <c r="C106" s="17">
        <v>39</v>
      </c>
      <c r="D106" s="18">
        <v>46040.6444444444</v>
      </c>
      <c r="E106" s="17">
        <v>2999</v>
      </c>
      <c r="F106" s="17" t="s">
        <v>24</v>
      </c>
      <c r="G106" s="17" t="s">
        <v>10</v>
      </c>
      <c r="H106" s="17">
        <v>5</v>
      </c>
    </row>
    <row r="107" spans="1:8">
      <c r="A107" s="17" t="s">
        <v>120</v>
      </c>
      <c r="B107" s="17">
        <v>166</v>
      </c>
      <c r="C107" s="17">
        <v>39</v>
      </c>
      <c r="D107" s="18">
        <v>46051.5743055556</v>
      </c>
      <c r="E107" s="17">
        <v>149</v>
      </c>
      <c r="F107" s="17" t="s">
        <v>12</v>
      </c>
      <c r="G107" s="17" t="s">
        <v>10</v>
      </c>
      <c r="H107" s="17">
        <v>32</v>
      </c>
    </row>
    <row r="108" spans="1:8">
      <c r="A108" s="17" t="s">
        <v>121</v>
      </c>
      <c r="B108" s="17">
        <v>346</v>
      </c>
      <c r="C108" s="17">
        <v>37</v>
      </c>
      <c r="D108" s="18">
        <v>46023.0930555556</v>
      </c>
      <c r="E108" s="17">
        <v>99</v>
      </c>
      <c r="F108" s="17" t="s">
        <v>12</v>
      </c>
      <c r="G108" s="17" t="s">
        <v>10</v>
      </c>
      <c r="H108" s="17">
        <v>75</v>
      </c>
    </row>
    <row r="109" spans="1:8">
      <c r="A109" s="17" t="s">
        <v>122</v>
      </c>
      <c r="B109" s="17">
        <v>138</v>
      </c>
      <c r="C109" s="17">
        <v>37</v>
      </c>
      <c r="D109" s="18">
        <v>46023.9111111111</v>
      </c>
      <c r="E109" s="17">
        <v>499</v>
      </c>
      <c r="F109" s="17" t="s">
        <v>12</v>
      </c>
      <c r="G109" s="17" t="s">
        <v>10</v>
      </c>
      <c r="H109" s="17">
        <v>5</v>
      </c>
    </row>
    <row r="110" spans="1:8">
      <c r="A110" s="17" t="s">
        <v>123</v>
      </c>
      <c r="B110" s="17">
        <v>266</v>
      </c>
      <c r="C110" s="17">
        <v>29</v>
      </c>
      <c r="D110" s="18">
        <v>46047.2291666667</v>
      </c>
      <c r="E110" s="17">
        <v>499</v>
      </c>
      <c r="F110" s="17" t="s">
        <v>9</v>
      </c>
      <c r="G110" s="17" t="s">
        <v>25</v>
      </c>
      <c r="H110" s="17">
        <v>35</v>
      </c>
    </row>
    <row r="111" spans="1:8">
      <c r="A111" s="17" t="s">
        <v>124</v>
      </c>
      <c r="B111" s="17">
        <v>326</v>
      </c>
      <c r="C111" s="17">
        <v>32</v>
      </c>
      <c r="D111" s="18">
        <v>46028.76875</v>
      </c>
      <c r="E111" s="17">
        <v>149</v>
      </c>
      <c r="F111" s="17" t="s">
        <v>12</v>
      </c>
      <c r="G111" s="17" t="s">
        <v>10</v>
      </c>
      <c r="H111" s="17">
        <v>11</v>
      </c>
    </row>
    <row r="112" spans="1:8">
      <c r="A112" s="17" t="s">
        <v>125</v>
      </c>
      <c r="B112" s="17">
        <v>171</v>
      </c>
      <c r="C112" s="17">
        <v>21</v>
      </c>
      <c r="D112" s="18">
        <v>46038.4763888889</v>
      </c>
      <c r="E112" s="17">
        <v>799</v>
      </c>
      <c r="F112" s="17" t="s">
        <v>12</v>
      </c>
      <c r="G112" s="17" t="s">
        <v>10</v>
      </c>
      <c r="H112" s="17">
        <v>85</v>
      </c>
    </row>
    <row r="113" spans="1:8">
      <c r="A113" s="17" t="s">
        <v>126</v>
      </c>
      <c r="B113" s="17">
        <v>211</v>
      </c>
      <c r="C113" s="17">
        <v>32</v>
      </c>
      <c r="D113" s="18">
        <v>46026.2229166667</v>
      </c>
      <c r="E113" s="17">
        <v>49</v>
      </c>
      <c r="F113" s="17" t="s">
        <v>12</v>
      </c>
      <c r="G113" s="17" t="s">
        <v>10</v>
      </c>
      <c r="H113" s="17">
        <v>36</v>
      </c>
    </row>
    <row r="114" spans="1:8">
      <c r="A114" s="17" t="s">
        <v>127</v>
      </c>
      <c r="B114" s="17">
        <v>282</v>
      </c>
      <c r="C114" s="17">
        <v>3</v>
      </c>
      <c r="D114" s="18">
        <v>46044.5361111111</v>
      </c>
      <c r="E114" s="17">
        <v>499</v>
      </c>
      <c r="F114" s="17" t="s">
        <v>12</v>
      </c>
      <c r="G114" s="17" t="s">
        <v>10</v>
      </c>
      <c r="H114" s="17">
        <v>58</v>
      </c>
    </row>
    <row r="115" spans="1:8">
      <c r="A115" s="17" t="s">
        <v>128</v>
      </c>
      <c r="B115" s="17">
        <v>166</v>
      </c>
      <c r="C115" s="17">
        <v>8</v>
      </c>
      <c r="D115" s="18">
        <v>46025.4277777778</v>
      </c>
      <c r="E115" s="17">
        <v>299</v>
      </c>
      <c r="F115" s="17" t="s">
        <v>12</v>
      </c>
      <c r="G115" s="17" t="s">
        <v>10</v>
      </c>
      <c r="H115" s="17">
        <v>98</v>
      </c>
    </row>
    <row r="116" spans="1:8">
      <c r="A116" s="17" t="s">
        <v>129</v>
      </c>
      <c r="B116" s="17">
        <v>1</v>
      </c>
      <c r="C116" s="17">
        <v>35</v>
      </c>
      <c r="D116" s="18">
        <v>46035.7027777778</v>
      </c>
      <c r="E116" s="17">
        <v>149</v>
      </c>
      <c r="F116" s="17" t="s">
        <v>12</v>
      </c>
      <c r="G116" s="17" t="s">
        <v>10</v>
      </c>
      <c r="H116" s="17">
        <v>59</v>
      </c>
    </row>
    <row r="117" spans="1:8">
      <c r="A117" s="17" t="s">
        <v>130</v>
      </c>
      <c r="B117" s="17">
        <v>266</v>
      </c>
      <c r="C117" s="17">
        <v>24</v>
      </c>
      <c r="D117" s="18">
        <v>46036.05</v>
      </c>
      <c r="E117" s="17">
        <v>499</v>
      </c>
      <c r="F117" s="17" t="s">
        <v>12</v>
      </c>
      <c r="G117" s="17" t="s">
        <v>10</v>
      </c>
      <c r="H117" s="17">
        <v>79</v>
      </c>
    </row>
    <row r="118" spans="1:8">
      <c r="A118" s="17" t="s">
        <v>131</v>
      </c>
      <c r="B118" s="17">
        <v>227</v>
      </c>
      <c r="C118" s="17">
        <v>4</v>
      </c>
      <c r="D118" s="18">
        <v>46047.6527777778</v>
      </c>
      <c r="E118" s="17">
        <v>499</v>
      </c>
      <c r="F118" s="17" t="s">
        <v>12</v>
      </c>
      <c r="G118" s="17" t="s">
        <v>10</v>
      </c>
      <c r="H118" s="17">
        <v>26</v>
      </c>
    </row>
    <row r="119" spans="1:8">
      <c r="A119" s="17" t="s">
        <v>132</v>
      </c>
      <c r="B119" s="17">
        <v>148</v>
      </c>
      <c r="C119" s="17">
        <v>29</v>
      </c>
      <c r="D119" s="18">
        <v>46031.7138888889</v>
      </c>
      <c r="E119" s="17">
        <v>499</v>
      </c>
      <c r="F119" s="17" t="s">
        <v>12</v>
      </c>
      <c r="G119" s="17" t="s">
        <v>10</v>
      </c>
      <c r="H119" s="17">
        <v>89</v>
      </c>
    </row>
    <row r="120" spans="1:8">
      <c r="A120" s="17" t="s">
        <v>133</v>
      </c>
      <c r="B120" s="17">
        <v>323</v>
      </c>
      <c r="C120" s="17">
        <v>39</v>
      </c>
      <c r="D120" s="18">
        <v>46038.1256944444</v>
      </c>
      <c r="E120" s="17">
        <v>499</v>
      </c>
      <c r="F120" s="17" t="s">
        <v>12</v>
      </c>
      <c r="G120" s="17" t="s">
        <v>10</v>
      </c>
      <c r="H120" s="17">
        <v>30</v>
      </c>
    </row>
    <row r="121" spans="1:8">
      <c r="A121" s="17" t="s">
        <v>134</v>
      </c>
      <c r="B121" s="17">
        <v>283</v>
      </c>
      <c r="C121" s="17">
        <v>1</v>
      </c>
      <c r="D121" s="18">
        <v>46045.2215277778</v>
      </c>
      <c r="E121" s="17">
        <v>2999</v>
      </c>
      <c r="F121" s="17" t="s">
        <v>9</v>
      </c>
      <c r="G121" s="17" t="s">
        <v>10</v>
      </c>
      <c r="H121" s="17">
        <v>70</v>
      </c>
    </row>
    <row r="122" spans="1:8">
      <c r="A122" s="17" t="s">
        <v>135</v>
      </c>
      <c r="B122" s="17">
        <v>59</v>
      </c>
      <c r="C122" s="17">
        <v>30</v>
      </c>
      <c r="D122" s="18">
        <v>46036.0930555556</v>
      </c>
      <c r="E122" s="17">
        <v>499</v>
      </c>
      <c r="F122" s="17" t="s">
        <v>12</v>
      </c>
      <c r="G122" s="17" t="s">
        <v>10</v>
      </c>
      <c r="H122" s="17">
        <v>15</v>
      </c>
    </row>
    <row r="123" spans="1:8">
      <c r="A123" s="17" t="s">
        <v>136</v>
      </c>
      <c r="B123" s="17">
        <v>150</v>
      </c>
      <c r="C123" s="17">
        <v>33</v>
      </c>
      <c r="D123" s="18">
        <v>46043.1881944444</v>
      </c>
      <c r="E123" s="17">
        <v>2999</v>
      </c>
      <c r="F123" s="17" t="s">
        <v>12</v>
      </c>
      <c r="G123" s="17" t="s">
        <v>10</v>
      </c>
      <c r="H123" s="17">
        <v>90</v>
      </c>
    </row>
    <row r="124" spans="1:8">
      <c r="A124" s="17" t="s">
        <v>137</v>
      </c>
      <c r="B124" s="17">
        <v>248</v>
      </c>
      <c r="C124" s="17">
        <v>31</v>
      </c>
      <c r="D124" s="18">
        <v>46031.5784722222</v>
      </c>
      <c r="E124" s="17">
        <v>1499</v>
      </c>
      <c r="F124" s="17" t="s">
        <v>12</v>
      </c>
      <c r="G124" s="17" t="s">
        <v>25</v>
      </c>
      <c r="H124" s="17">
        <v>31</v>
      </c>
    </row>
    <row r="125" spans="1:8">
      <c r="A125" s="17" t="s">
        <v>138</v>
      </c>
      <c r="B125" s="17">
        <v>197</v>
      </c>
      <c r="C125" s="17">
        <v>13</v>
      </c>
      <c r="D125" s="18">
        <v>46037.7145833333</v>
      </c>
      <c r="E125" s="17">
        <v>49</v>
      </c>
      <c r="F125" s="17" t="s">
        <v>12</v>
      </c>
      <c r="G125" s="17" t="s">
        <v>10</v>
      </c>
      <c r="H125" s="17">
        <v>76</v>
      </c>
    </row>
    <row r="126" spans="1:8">
      <c r="A126" s="17" t="s">
        <v>139</v>
      </c>
      <c r="B126" s="17">
        <v>70</v>
      </c>
      <c r="C126" s="17">
        <v>5</v>
      </c>
      <c r="D126" s="18">
        <v>46039.9972222222</v>
      </c>
      <c r="E126" s="17">
        <v>499</v>
      </c>
      <c r="F126" s="17" t="s">
        <v>12</v>
      </c>
      <c r="G126" s="17" t="s">
        <v>10</v>
      </c>
      <c r="H126" s="17">
        <v>35</v>
      </c>
    </row>
    <row r="127" spans="1:8">
      <c r="A127" s="17" t="s">
        <v>140</v>
      </c>
      <c r="B127" s="17">
        <v>260</v>
      </c>
      <c r="C127" s="17">
        <v>18</v>
      </c>
      <c r="D127" s="18">
        <v>46047.55625</v>
      </c>
      <c r="E127" s="17">
        <v>1499</v>
      </c>
      <c r="F127" s="17" t="s">
        <v>12</v>
      </c>
      <c r="G127" s="17" t="s">
        <v>10</v>
      </c>
      <c r="H127" s="17">
        <v>0</v>
      </c>
    </row>
    <row r="128" spans="1:8">
      <c r="A128" s="17" t="s">
        <v>141</v>
      </c>
      <c r="B128" s="17">
        <v>301</v>
      </c>
      <c r="C128" s="17">
        <v>38</v>
      </c>
      <c r="D128" s="18">
        <v>46032.9715277778</v>
      </c>
      <c r="E128" s="17">
        <v>99</v>
      </c>
      <c r="F128" s="17" t="s">
        <v>12</v>
      </c>
      <c r="G128" s="17" t="s">
        <v>10</v>
      </c>
      <c r="H128" s="17">
        <v>84</v>
      </c>
    </row>
    <row r="129" spans="1:8">
      <c r="A129" s="17" t="s">
        <v>142</v>
      </c>
      <c r="B129" s="17">
        <v>276</v>
      </c>
      <c r="C129" s="17">
        <v>31</v>
      </c>
      <c r="D129" s="18">
        <v>46038.1861111111</v>
      </c>
      <c r="E129" s="17">
        <v>499</v>
      </c>
      <c r="F129" s="17" t="s">
        <v>24</v>
      </c>
      <c r="G129" s="17" t="s">
        <v>10</v>
      </c>
      <c r="H129" s="17">
        <v>44</v>
      </c>
    </row>
    <row r="130" spans="1:8">
      <c r="A130" s="17" t="s">
        <v>143</v>
      </c>
      <c r="B130" s="17">
        <v>279</v>
      </c>
      <c r="C130" s="17">
        <v>25</v>
      </c>
      <c r="D130" s="18">
        <v>46033.7416666667</v>
      </c>
      <c r="E130" s="17">
        <v>799</v>
      </c>
      <c r="F130" s="17" t="s">
        <v>12</v>
      </c>
      <c r="G130" s="17" t="s">
        <v>10</v>
      </c>
      <c r="H130" s="17">
        <v>58</v>
      </c>
    </row>
    <row r="131" spans="1:8">
      <c r="A131" s="17" t="s">
        <v>144</v>
      </c>
      <c r="B131" s="17">
        <v>97</v>
      </c>
      <c r="C131" s="17">
        <v>16</v>
      </c>
      <c r="D131" s="18">
        <v>46052.4548611111</v>
      </c>
      <c r="E131" s="17">
        <v>799</v>
      </c>
      <c r="F131" s="17" t="s">
        <v>24</v>
      </c>
      <c r="G131" s="17" t="s">
        <v>10</v>
      </c>
      <c r="H131" s="17">
        <v>73</v>
      </c>
    </row>
    <row r="132" spans="1:8">
      <c r="A132" s="17" t="s">
        <v>145</v>
      </c>
      <c r="B132" s="17">
        <v>211</v>
      </c>
      <c r="C132" s="17">
        <v>3</v>
      </c>
      <c r="D132" s="18">
        <v>46035.3291666667</v>
      </c>
      <c r="E132" s="17">
        <v>149</v>
      </c>
      <c r="F132" s="17" t="s">
        <v>12</v>
      </c>
      <c r="G132" s="17" t="s">
        <v>38</v>
      </c>
      <c r="H132" s="17">
        <v>40</v>
      </c>
    </row>
    <row r="133" spans="1:8">
      <c r="A133" s="17" t="s">
        <v>146</v>
      </c>
      <c r="B133" s="17">
        <v>196</v>
      </c>
      <c r="C133" s="17">
        <v>25</v>
      </c>
      <c r="D133" s="18">
        <v>46046.65625</v>
      </c>
      <c r="E133" s="17">
        <v>149</v>
      </c>
      <c r="F133" s="17" t="s">
        <v>15</v>
      </c>
      <c r="G133" s="17" t="s">
        <v>10</v>
      </c>
      <c r="H133" s="17">
        <v>84</v>
      </c>
    </row>
    <row r="134" spans="1:8">
      <c r="A134" s="17" t="s">
        <v>147</v>
      </c>
      <c r="B134" s="17">
        <v>254</v>
      </c>
      <c r="C134" s="17">
        <v>3</v>
      </c>
      <c r="D134" s="18">
        <v>46048.8395833333</v>
      </c>
      <c r="E134" s="17">
        <v>149</v>
      </c>
      <c r="F134" s="17" t="s">
        <v>24</v>
      </c>
      <c r="G134" s="17" t="s">
        <v>10</v>
      </c>
      <c r="H134" s="17">
        <v>16</v>
      </c>
    </row>
    <row r="135" spans="1:8">
      <c r="A135" s="17" t="s">
        <v>148</v>
      </c>
      <c r="B135" s="17">
        <v>52</v>
      </c>
      <c r="C135" s="17">
        <v>29</v>
      </c>
      <c r="D135" s="18">
        <v>46039.7645833333</v>
      </c>
      <c r="E135" s="17">
        <v>49</v>
      </c>
      <c r="F135" s="17" t="s">
        <v>15</v>
      </c>
      <c r="G135" s="17" t="s">
        <v>10</v>
      </c>
      <c r="H135" s="17">
        <v>12</v>
      </c>
    </row>
    <row r="136" spans="1:8">
      <c r="A136" s="17" t="s">
        <v>149</v>
      </c>
      <c r="B136" s="17">
        <v>74</v>
      </c>
      <c r="C136" s="17">
        <v>27</v>
      </c>
      <c r="D136" s="18">
        <v>46039.5833333333</v>
      </c>
      <c r="E136" s="17">
        <v>799</v>
      </c>
      <c r="F136" s="17" t="s">
        <v>12</v>
      </c>
      <c r="G136" s="17" t="s">
        <v>10</v>
      </c>
      <c r="H136" s="17">
        <v>83</v>
      </c>
    </row>
    <row r="137" spans="1:8">
      <c r="A137" s="17" t="s">
        <v>150</v>
      </c>
      <c r="B137" s="17">
        <v>136</v>
      </c>
      <c r="C137" s="17">
        <v>22</v>
      </c>
      <c r="D137" s="18">
        <v>46027.1041666667</v>
      </c>
      <c r="E137" s="17">
        <v>149</v>
      </c>
      <c r="F137" s="17" t="s">
        <v>12</v>
      </c>
      <c r="G137" s="17" t="s">
        <v>10</v>
      </c>
      <c r="H137" s="17">
        <v>79</v>
      </c>
    </row>
    <row r="138" spans="1:8">
      <c r="A138" s="17" t="s">
        <v>151</v>
      </c>
      <c r="B138" s="17">
        <v>42</v>
      </c>
      <c r="C138" s="17">
        <v>22</v>
      </c>
      <c r="D138" s="18">
        <v>46045.5284722222</v>
      </c>
      <c r="E138" s="17">
        <v>49</v>
      </c>
      <c r="F138" s="17" t="s">
        <v>12</v>
      </c>
      <c r="G138" s="17" t="s">
        <v>10</v>
      </c>
      <c r="H138" s="17">
        <v>86</v>
      </c>
    </row>
    <row r="139" spans="1:8">
      <c r="A139" s="17" t="s">
        <v>152</v>
      </c>
      <c r="B139" s="17">
        <v>163</v>
      </c>
      <c r="C139" s="17">
        <v>32</v>
      </c>
      <c r="D139" s="18">
        <v>46050.725</v>
      </c>
      <c r="E139" s="17">
        <v>2999</v>
      </c>
      <c r="F139" s="17" t="s">
        <v>9</v>
      </c>
      <c r="G139" s="17" t="s">
        <v>25</v>
      </c>
      <c r="H139" s="17">
        <v>69</v>
      </c>
    </row>
    <row r="140" spans="1:8">
      <c r="A140" s="17" t="s">
        <v>153</v>
      </c>
      <c r="B140" s="17">
        <v>121</v>
      </c>
      <c r="C140" s="17">
        <v>19</v>
      </c>
      <c r="D140" s="18">
        <v>46024.7944444444</v>
      </c>
      <c r="E140" s="17">
        <v>149</v>
      </c>
      <c r="F140" s="17" t="s">
        <v>12</v>
      </c>
      <c r="G140" s="17" t="s">
        <v>10</v>
      </c>
      <c r="H140" s="17">
        <v>29</v>
      </c>
    </row>
    <row r="141" spans="1:8">
      <c r="A141" s="17" t="s">
        <v>154</v>
      </c>
      <c r="B141" s="17">
        <v>51</v>
      </c>
      <c r="C141" s="17">
        <v>7</v>
      </c>
      <c r="D141" s="18">
        <v>46046.1020833333</v>
      </c>
      <c r="E141" s="17">
        <v>499</v>
      </c>
      <c r="F141" s="17" t="s">
        <v>24</v>
      </c>
      <c r="G141" s="17" t="s">
        <v>10</v>
      </c>
      <c r="H141" s="17">
        <v>56</v>
      </c>
    </row>
    <row r="142" spans="1:8">
      <c r="A142" s="17" t="s">
        <v>155</v>
      </c>
      <c r="B142" s="17">
        <v>15</v>
      </c>
      <c r="C142" s="17">
        <v>3</v>
      </c>
      <c r="D142" s="18">
        <v>46028.9298611111</v>
      </c>
      <c r="E142" s="17">
        <v>799</v>
      </c>
      <c r="F142" s="17" t="s">
        <v>12</v>
      </c>
      <c r="G142" s="17" t="s">
        <v>10</v>
      </c>
      <c r="H142" s="17">
        <v>41</v>
      </c>
    </row>
    <row r="143" spans="1:8">
      <c r="A143" s="17" t="s">
        <v>156</v>
      </c>
      <c r="B143" s="17">
        <v>184</v>
      </c>
      <c r="C143" s="17">
        <v>24</v>
      </c>
      <c r="D143" s="18">
        <v>46048.0541666667</v>
      </c>
      <c r="E143" s="17">
        <v>49</v>
      </c>
      <c r="F143" s="17" t="s">
        <v>12</v>
      </c>
      <c r="G143" s="17" t="s">
        <v>10</v>
      </c>
      <c r="H143" s="17">
        <v>55</v>
      </c>
    </row>
    <row r="144" spans="1:8">
      <c r="A144" s="17" t="s">
        <v>157</v>
      </c>
      <c r="B144" s="17">
        <v>211</v>
      </c>
      <c r="C144" s="17">
        <v>37</v>
      </c>
      <c r="D144" s="18">
        <v>46027.3145833333</v>
      </c>
      <c r="E144" s="17">
        <v>1499</v>
      </c>
      <c r="F144" s="17" t="s">
        <v>12</v>
      </c>
      <c r="G144" s="17" t="s">
        <v>10</v>
      </c>
      <c r="H144" s="17">
        <v>87</v>
      </c>
    </row>
    <row r="145" spans="1:8">
      <c r="A145" s="17" t="s">
        <v>158</v>
      </c>
      <c r="B145" s="17">
        <v>90</v>
      </c>
      <c r="C145" s="17">
        <v>6</v>
      </c>
      <c r="D145" s="18">
        <v>46048.2152777778</v>
      </c>
      <c r="E145" s="17">
        <v>49</v>
      </c>
      <c r="F145" s="17" t="s">
        <v>24</v>
      </c>
      <c r="G145" s="17" t="s">
        <v>10</v>
      </c>
      <c r="H145" s="17">
        <v>78</v>
      </c>
    </row>
    <row r="146" spans="1:8">
      <c r="A146" s="17" t="s">
        <v>159</v>
      </c>
      <c r="B146" s="17">
        <v>350</v>
      </c>
      <c r="C146" s="17">
        <v>16</v>
      </c>
      <c r="D146" s="18">
        <v>46050.5270833333</v>
      </c>
      <c r="E146" s="17">
        <v>49</v>
      </c>
      <c r="F146" s="17" t="s">
        <v>12</v>
      </c>
      <c r="G146" s="17" t="s">
        <v>10</v>
      </c>
      <c r="H146" s="17">
        <v>63</v>
      </c>
    </row>
    <row r="147" spans="1:8">
      <c r="A147" s="17" t="s">
        <v>160</v>
      </c>
      <c r="B147" s="17">
        <v>119</v>
      </c>
      <c r="C147" s="17">
        <v>30</v>
      </c>
      <c r="D147" s="18">
        <v>46052.75625</v>
      </c>
      <c r="E147" s="17">
        <v>49</v>
      </c>
      <c r="F147" s="17" t="s">
        <v>24</v>
      </c>
      <c r="G147" s="17" t="s">
        <v>10</v>
      </c>
      <c r="H147" s="17">
        <v>81</v>
      </c>
    </row>
    <row r="148" spans="1:8">
      <c r="A148" s="17" t="s">
        <v>161</v>
      </c>
      <c r="B148" s="17">
        <v>342</v>
      </c>
      <c r="C148" s="17">
        <v>1</v>
      </c>
      <c r="D148" s="18">
        <v>46031.5944444444</v>
      </c>
      <c r="E148" s="17">
        <v>49</v>
      </c>
      <c r="F148" s="17" t="s">
        <v>12</v>
      </c>
      <c r="G148" s="17" t="s">
        <v>10</v>
      </c>
      <c r="H148" s="17">
        <v>59</v>
      </c>
    </row>
    <row r="149" spans="1:8">
      <c r="A149" s="17" t="s">
        <v>162</v>
      </c>
      <c r="B149" s="17">
        <v>280</v>
      </c>
      <c r="C149" s="17">
        <v>11</v>
      </c>
      <c r="D149" s="18">
        <v>46051.4048611111</v>
      </c>
      <c r="E149" s="17">
        <v>149</v>
      </c>
      <c r="F149" s="17" t="s">
        <v>12</v>
      </c>
      <c r="G149" s="17" t="s">
        <v>38</v>
      </c>
      <c r="H149" s="17">
        <v>9</v>
      </c>
    </row>
    <row r="150" spans="1:8">
      <c r="A150" s="17" t="s">
        <v>163</v>
      </c>
      <c r="B150" s="17">
        <v>154</v>
      </c>
      <c r="C150" s="17">
        <v>28</v>
      </c>
      <c r="D150" s="18">
        <v>46037.4840277778</v>
      </c>
      <c r="E150" s="17">
        <v>2999</v>
      </c>
      <c r="F150" s="17" t="s">
        <v>15</v>
      </c>
      <c r="G150" s="17" t="s">
        <v>10</v>
      </c>
      <c r="H150" s="17">
        <v>88</v>
      </c>
    </row>
    <row r="151" spans="1:8">
      <c r="A151" s="17" t="s">
        <v>164</v>
      </c>
      <c r="B151" s="17">
        <v>155</v>
      </c>
      <c r="C151" s="17">
        <v>13</v>
      </c>
      <c r="D151" s="18">
        <v>46031.6208333333</v>
      </c>
      <c r="E151" s="17">
        <v>149</v>
      </c>
      <c r="F151" s="17" t="s">
        <v>12</v>
      </c>
      <c r="G151" s="17" t="s">
        <v>10</v>
      </c>
      <c r="H151" s="17">
        <v>49</v>
      </c>
    </row>
    <row r="152" spans="1:8">
      <c r="A152" s="17" t="s">
        <v>165</v>
      </c>
      <c r="B152" s="17">
        <v>122</v>
      </c>
      <c r="C152" s="17">
        <v>25</v>
      </c>
      <c r="D152" s="18">
        <v>46050.6291666667</v>
      </c>
      <c r="E152" s="17">
        <v>299</v>
      </c>
      <c r="F152" s="17" t="s">
        <v>12</v>
      </c>
      <c r="G152" s="17" t="s">
        <v>10</v>
      </c>
      <c r="H152" s="17">
        <v>73</v>
      </c>
    </row>
    <row r="153" spans="1:8">
      <c r="A153" s="17" t="s">
        <v>166</v>
      </c>
      <c r="B153" s="17">
        <v>152</v>
      </c>
      <c r="C153" s="17">
        <v>2</v>
      </c>
      <c r="D153" s="18">
        <v>46034.7625</v>
      </c>
      <c r="E153" s="17">
        <v>49</v>
      </c>
      <c r="F153" s="17" t="s">
        <v>12</v>
      </c>
      <c r="G153" s="17" t="s">
        <v>10</v>
      </c>
      <c r="H153" s="17">
        <v>84</v>
      </c>
    </row>
    <row r="154" spans="1:8">
      <c r="A154" s="17" t="s">
        <v>167</v>
      </c>
      <c r="B154" s="17">
        <v>290</v>
      </c>
      <c r="C154" s="17">
        <v>4</v>
      </c>
      <c r="D154" s="18">
        <v>46035.3333333333</v>
      </c>
      <c r="E154" s="17">
        <v>149</v>
      </c>
      <c r="F154" s="17" t="s">
        <v>12</v>
      </c>
      <c r="G154" s="17" t="s">
        <v>10</v>
      </c>
      <c r="H154" s="17">
        <v>77</v>
      </c>
    </row>
    <row r="155" spans="1:8">
      <c r="A155" s="17" t="s">
        <v>168</v>
      </c>
      <c r="B155" s="17">
        <v>147</v>
      </c>
      <c r="C155" s="17">
        <v>15</v>
      </c>
      <c r="D155" s="18">
        <v>46046.6618055556</v>
      </c>
      <c r="E155" s="17">
        <v>49</v>
      </c>
      <c r="F155" s="17" t="s">
        <v>9</v>
      </c>
      <c r="G155" s="17" t="s">
        <v>10</v>
      </c>
      <c r="H155" s="17">
        <v>77</v>
      </c>
    </row>
    <row r="156" spans="1:8">
      <c r="A156" s="17" t="s">
        <v>169</v>
      </c>
      <c r="B156" s="17">
        <v>326</v>
      </c>
      <c r="C156" s="17">
        <v>13</v>
      </c>
      <c r="D156" s="18">
        <v>46048.4680555556</v>
      </c>
      <c r="E156" s="17">
        <v>299</v>
      </c>
      <c r="F156" s="17" t="s">
        <v>15</v>
      </c>
      <c r="G156" s="17" t="s">
        <v>10</v>
      </c>
      <c r="H156" s="17">
        <v>79</v>
      </c>
    </row>
    <row r="157" spans="1:8">
      <c r="A157" s="17" t="s">
        <v>170</v>
      </c>
      <c r="B157" s="17">
        <v>338</v>
      </c>
      <c r="C157" s="17">
        <v>9</v>
      </c>
      <c r="D157" s="18">
        <v>46031.9083333333</v>
      </c>
      <c r="E157" s="17">
        <v>99</v>
      </c>
      <c r="F157" s="17" t="s">
        <v>24</v>
      </c>
      <c r="G157" s="17" t="s">
        <v>10</v>
      </c>
      <c r="H157" s="17">
        <v>80</v>
      </c>
    </row>
    <row r="158" spans="1:8">
      <c r="A158" s="17" t="s">
        <v>171</v>
      </c>
      <c r="B158" s="17">
        <v>21</v>
      </c>
      <c r="C158" s="17">
        <v>20</v>
      </c>
      <c r="D158" s="18">
        <v>46026.8618055556</v>
      </c>
      <c r="E158" s="17">
        <v>2999</v>
      </c>
      <c r="F158" s="17" t="s">
        <v>12</v>
      </c>
      <c r="G158" s="17" t="s">
        <v>10</v>
      </c>
      <c r="H158" s="17">
        <v>100</v>
      </c>
    </row>
    <row r="159" spans="1:8">
      <c r="A159" s="17" t="s">
        <v>172</v>
      </c>
      <c r="B159" s="17">
        <v>187</v>
      </c>
      <c r="C159" s="17">
        <v>9</v>
      </c>
      <c r="D159" s="18">
        <v>46037.0673611111</v>
      </c>
      <c r="E159" s="17">
        <v>49</v>
      </c>
      <c r="F159" s="17" t="s">
        <v>24</v>
      </c>
      <c r="G159" s="17" t="s">
        <v>25</v>
      </c>
      <c r="H159" s="17">
        <v>11</v>
      </c>
    </row>
    <row r="160" spans="1:8">
      <c r="A160" s="17" t="s">
        <v>173</v>
      </c>
      <c r="B160" s="17">
        <v>213</v>
      </c>
      <c r="C160" s="17">
        <v>12</v>
      </c>
      <c r="D160" s="18">
        <v>46052.3888888889</v>
      </c>
      <c r="E160" s="17">
        <v>4999</v>
      </c>
      <c r="F160" s="17" t="s">
        <v>12</v>
      </c>
      <c r="G160" s="17" t="s">
        <v>10</v>
      </c>
      <c r="H160" s="17">
        <v>25</v>
      </c>
    </row>
    <row r="161" spans="1:8">
      <c r="A161" s="17" t="s">
        <v>174</v>
      </c>
      <c r="B161" s="17">
        <v>188</v>
      </c>
      <c r="C161" s="17">
        <v>34</v>
      </c>
      <c r="D161" s="18">
        <v>46027.7472222222</v>
      </c>
      <c r="E161" s="17">
        <v>2999</v>
      </c>
      <c r="F161" s="17" t="s">
        <v>12</v>
      </c>
      <c r="G161" s="17" t="s">
        <v>10</v>
      </c>
      <c r="H161" s="17">
        <v>64</v>
      </c>
    </row>
    <row r="162" spans="1:8">
      <c r="A162" s="17" t="s">
        <v>175</v>
      </c>
      <c r="B162" s="17">
        <v>85</v>
      </c>
      <c r="C162" s="17">
        <v>17</v>
      </c>
      <c r="D162" s="18">
        <v>46052.3701388889</v>
      </c>
      <c r="E162" s="17">
        <v>499</v>
      </c>
      <c r="F162" s="17" t="s">
        <v>12</v>
      </c>
      <c r="G162" s="17" t="s">
        <v>10</v>
      </c>
      <c r="H162" s="17">
        <v>61</v>
      </c>
    </row>
    <row r="163" spans="1:8">
      <c r="A163" s="17" t="s">
        <v>176</v>
      </c>
      <c r="B163" s="17">
        <v>174</v>
      </c>
      <c r="C163" s="17">
        <v>8</v>
      </c>
      <c r="D163" s="18">
        <v>46048.4076388889</v>
      </c>
      <c r="E163" s="17">
        <v>299</v>
      </c>
      <c r="F163" s="17" t="s">
        <v>15</v>
      </c>
      <c r="G163" s="17" t="s">
        <v>10</v>
      </c>
      <c r="H163" s="17">
        <v>59</v>
      </c>
    </row>
    <row r="164" spans="1:8">
      <c r="A164" s="17" t="s">
        <v>177</v>
      </c>
      <c r="B164" s="17">
        <v>116</v>
      </c>
      <c r="C164" s="17">
        <v>26</v>
      </c>
      <c r="D164" s="18">
        <v>46025.2</v>
      </c>
      <c r="E164" s="17">
        <v>99</v>
      </c>
      <c r="F164" s="17" t="s">
        <v>15</v>
      </c>
      <c r="G164" s="17" t="s">
        <v>10</v>
      </c>
      <c r="H164" s="17">
        <v>71</v>
      </c>
    </row>
    <row r="165" spans="1:8">
      <c r="A165" s="17" t="s">
        <v>178</v>
      </c>
      <c r="B165" s="17">
        <v>203</v>
      </c>
      <c r="C165" s="17">
        <v>1</v>
      </c>
      <c r="D165" s="18">
        <v>46034.1180555556</v>
      </c>
      <c r="E165" s="17">
        <v>149</v>
      </c>
      <c r="F165" s="17" t="s">
        <v>9</v>
      </c>
      <c r="G165" s="17" t="s">
        <v>10</v>
      </c>
      <c r="H165" s="17">
        <v>33</v>
      </c>
    </row>
    <row r="166" spans="1:8">
      <c r="A166" s="17" t="s">
        <v>179</v>
      </c>
      <c r="B166" s="17">
        <v>189</v>
      </c>
      <c r="C166" s="17">
        <v>17</v>
      </c>
      <c r="D166" s="18">
        <v>46040.1451388889</v>
      </c>
      <c r="E166" s="17">
        <v>99</v>
      </c>
      <c r="F166" s="17" t="s">
        <v>12</v>
      </c>
      <c r="G166" s="17" t="s">
        <v>10</v>
      </c>
      <c r="H166" s="17">
        <v>74</v>
      </c>
    </row>
    <row r="167" spans="1:8">
      <c r="A167" s="17" t="s">
        <v>180</v>
      </c>
      <c r="B167" s="17">
        <v>56</v>
      </c>
      <c r="C167" s="17">
        <v>15</v>
      </c>
      <c r="D167" s="18">
        <v>46035.8493055556</v>
      </c>
      <c r="E167" s="17">
        <v>299</v>
      </c>
      <c r="F167" s="17" t="s">
        <v>12</v>
      </c>
      <c r="G167" s="17" t="s">
        <v>10</v>
      </c>
      <c r="H167" s="17">
        <v>60</v>
      </c>
    </row>
    <row r="168" spans="1:8">
      <c r="A168" s="17" t="s">
        <v>181</v>
      </c>
      <c r="B168" s="17">
        <v>288</v>
      </c>
      <c r="C168" s="17">
        <v>21</v>
      </c>
      <c r="D168" s="18">
        <v>46023.8305555556</v>
      </c>
      <c r="E168" s="17">
        <v>4999</v>
      </c>
      <c r="F168" s="17" t="s">
        <v>9</v>
      </c>
      <c r="G168" s="17" t="s">
        <v>25</v>
      </c>
      <c r="H168" s="17">
        <v>78</v>
      </c>
    </row>
    <row r="169" spans="1:8">
      <c r="A169" s="17" t="s">
        <v>182</v>
      </c>
      <c r="B169" s="17">
        <v>326</v>
      </c>
      <c r="C169" s="17">
        <v>30</v>
      </c>
      <c r="D169" s="18">
        <v>46030.8361111111</v>
      </c>
      <c r="E169" s="17">
        <v>99</v>
      </c>
      <c r="F169" s="17" t="s">
        <v>24</v>
      </c>
      <c r="G169" s="17" t="s">
        <v>10</v>
      </c>
      <c r="H169" s="17">
        <v>89</v>
      </c>
    </row>
    <row r="170" spans="1:8">
      <c r="A170" s="17" t="s">
        <v>183</v>
      </c>
      <c r="B170" s="17">
        <v>60</v>
      </c>
      <c r="C170" s="17">
        <v>9</v>
      </c>
      <c r="D170" s="18">
        <v>46032.8513888889</v>
      </c>
      <c r="E170" s="17">
        <v>49</v>
      </c>
      <c r="F170" s="17" t="s">
        <v>15</v>
      </c>
      <c r="G170" s="17" t="s">
        <v>10</v>
      </c>
      <c r="H170" s="17">
        <v>5</v>
      </c>
    </row>
    <row r="171" spans="1:8">
      <c r="A171" s="17" t="s">
        <v>184</v>
      </c>
      <c r="B171" s="17">
        <v>60</v>
      </c>
      <c r="C171" s="17">
        <v>7</v>
      </c>
      <c r="D171" s="18">
        <v>46024.3965277778</v>
      </c>
      <c r="E171" s="17">
        <v>2999</v>
      </c>
      <c r="F171" s="17" t="s">
        <v>9</v>
      </c>
      <c r="G171" s="17" t="s">
        <v>10</v>
      </c>
      <c r="H171" s="17">
        <v>30</v>
      </c>
    </row>
    <row r="172" spans="1:8">
      <c r="A172" s="17" t="s">
        <v>185</v>
      </c>
      <c r="B172" s="17">
        <v>199</v>
      </c>
      <c r="C172" s="17">
        <v>30</v>
      </c>
      <c r="D172" s="18">
        <v>46051.7138888889</v>
      </c>
      <c r="E172" s="17">
        <v>149</v>
      </c>
      <c r="F172" s="17" t="s">
        <v>15</v>
      </c>
      <c r="G172" s="17" t="s">
        <v>10</v>
      </c>
      <c r="H172" s="17">
        <v>47</v>
      </c>
    </row>
    <row r="173" spans="1:8">
      <c r="A173" s="17" t="s">
        <v>186</v>
      </c>
      <c r="B173" s="17">
        <v>277</v>
      </c>
      <c r="C173" s="17">
        <v>27</v>
      </c>
      <c r="D173" s="18">
        <v>46044.9888888889</v>
      </c>
      <c r="E173" s="17">
        <v>49</v>
      </c>
      <c r="F173" s="17" t="s">
        <v>12</v>
      </c>
      <c r="G173" s="17" t="s">
        <v>10</v>
      </c>
      <c r="H173" s="17">
        <v>75</v>
      </c>
    </row>
    <row r="174" spans="1:8">
      <c r="A174" s="17" t="s">
        <v>187</v>
      </c>
      <c r="B174" s="17">
        <v>213</v>
      </c>
      <c r="C174" s="17">
        <v>7</v>
      </c>
      <c r="D174" s="18">
        <v>46046.9645833333</v>
      </c>
      <c r="E174" s="17">
        <v>799</v>
      </c>
      <c r="F174" s="17" t="s">
        <v>15</v>
      </c>
      <c r="G174" s="17" t="s">
        <v>10</v>
      </c>
      <c r="H174" s="17">
        <v>62</v>
      </c>
    </row>
    <row r="175" spans="1:8">
      <c r="A175" s="17" t="s">
        <v>188</v>
      </c>
      <c r="B175" s="17">
        <v>17</v>
      </c>
      <c r="C175" s="17">
        <v>24</v>
      </c>
      <c r="D175" s="18">
        <v>46042.5534722222</v>
      </c>
      <c r="E175" s="17">
        <v>299</v>
      </c>
      <c r="F175" s="17" t="s">
        <v>12</v>
      </c>
      <c r="G175" s="17" t="s">
        <v>10</v>
      </c>
      <c r="H175" s="17">
        <v>27</v>
      </c>
    </row>
    <row r="176" spans="1:8">
      <c r="A176" s="17" t="s">
        <v>189</v>
      </c>
      <c r="B176" s="17">
        <v>186</v>
      </c>
      <c r="C176" s="17">
        <v>7</v>
      </c>
      <c r="D176" s="18">
        <v>46037.59375</v>
      </c>
      <c r="E176" s="17">
        <v>1499</v>
      </c>
      <c r="F176" s="17" t="s">
        <v>24</v>
      </c>
      <c r="G176" s="17" t="s">
        <v>25</v>
      </c>
      <c r="H176" s="17">
        <v>87</v>
      </c>
    </row>
    <row r="177" spans="1:8">
      <c r="A177" s="17" t="s">
        <v>190</v>
      </c>
      <c r="B177" s="17">
        <v>331</v>
      </c>
      <c r="C177" s="17">
        <v>23</v>
      </c>
      <c r="D177" s="18">
        <v>46034.7479166667</v>
      </c>
      <c r="E177" s="17">
        <v>149</v>
      </c>
      <c r="F177" s="17" t="s">
        <v>12</v>
      </c>
      <c r="G177" s="17" t="s">
        <v>10</v>
      </c>
      <c r="H177" s="17">
        <v>7</v>
      </c>
    </row>
    <row r="178" spans="1:8">
      <c r="A178" s="17" t="s">
        <v>191</v>
      </c>
      <c r="B178" s="17">
        <v>63</v>
      </c>
      <c r="C178" s="17">
        <v>30</v>
      </c>
      <c r="D178" s="18">
        <v>46035.3416666667</v>
      </c>
      <c r="E178" s="17">
        <v>1499</v>
      </c>
      <c r="F178" s="17" t="s">
        <v>24</v>
      </c>
      <c r="G178" s="17" t="s">
        <v>10</v>
      </c>
      <c r="H178" s="17">
        <v>11</v>
      </c>
    </row>
    <row r="179" spans="1:8">
      <c r="A179" s="17" t="s">
        <v>192</v>
      </c>
      <c r="B179" s="17">
        <v>328</v>
      </c>
      <c r="C179" s="17">
        <v>39</v>
      </c>
      <c r="D179" s="18">
        <v>46044.2784722222</v>
      </c>
      <c r="E179" s="17">
        <v>4999</v>
      </c>
      <c r="F179" s="17" t="s">
        <v>9</v>
      </c>
      <c r="G179" s="17" t="s">
        <v>38</v>
      </c>
      <c r="H179" s="17">
        <v>2</v>
      </c>
    </row>
    <row r="180" spans="1:8">
      <c r="A180" s="17" t="s">
        <v>193</v>
      </c>
      <c r="B180" s="17">
        <v>65</v>
      </c>
      <c r="C180" s="17">
        <v>37</v>
      </c>
      <c r="D180" s="18">
        <v>46024.4270833333</v>
      </c>
      <c r="E180" s="17">
        <v>2999</v>
      </c>
      <c r="F180" s="17" t="s">
        <v>24</v>
      </c>
      <c r="G180" s="17" t="s">
        <v>10</v>
      </c>
      <c r="H180" s="17">
        <v>26</v>
      </c>
    </row>
    <row r="181" spans="1:8">
      <c r="A181" s="17" t="s">
        <v>194</v>
      </c>
      <c r="B181" s="17">
        <v>301</v>
      </c>
      <c r="C181" s="17">
        <v>14</v>
      </c>
      <c r="D181" s="18">
        <v>46025.7173611111</v>
      </c>
      <c r="E181" s="17">
        <v>149</v>
      </c>
      <c r="F181" s="17" t="s">
        <v>12</v>
      </c>
      <c r="G181" s="17" t="s">
        <v>10</v>
      </c>
      <c r="H181" s="17">
        <v>29</v>
      </c>
    </row>
    <row r="182" spans="1:8">
      <c r="A182" s="17" t="s">
        <v>195</v>
      </c>
      <c r="B182" s="17">
        <v>306</v>
      </c>
      <c r="C182" s="17">
        <v>1</v>
      </c>
      <c r="D182" s="18">
        <v>46033.2013888889</v>
      </c>
      <c r="E182" s="17">
        <v>299</v>
      </c>
      <c r="F182" s="17" t="s">
        <v>12</v>
      </c>
      <c r="G182" s="17" t="s">
        <v>25</v>
      </c>
      <c r="H182" s="17">
        <v>35</v>
      </c>
    </row>
    <row r="183" spans="1:8">
      <c r="A183" s="17" t="s">
        <v>196</v>
      </c>
      <c r="B183" s="17">
        <v>277</v>
      </c>
      <c r="C183" s="17">
        <v>17</v>
      </c>
      <c r="D183" s="18">
        <v>46050.1722222222</v>
      </c>
      <c r="E183" s="17">
        <v>299</v>
      </c>
      <c r="F183" s="17" t="s">
        <v>12</v>
      </c>
      <c r="G183" s="17" t="s">
        <v>10</v>
      </c>
      <c r="H183" s="17">
        <v>22</v>
      </c>
    </row>
    <row r="184" spans="1:8">
      <c r="A184" s="17" t="s">
        <v>197</v>
      </c>
      <c r="B184" s="17">
        <v>14</v>
      </c>
      <c r="C184" s="17">
        <v>9</v>
      </c>
      <c r="D184" s="18">
        <v>46026.9131944444</v>
      </c>
      <c r="E184" s="17">
        <v>499</v>
      </c>
      <c r="F184" s="17" t="s">
        <v>12</v>
      </c>
      <c r="G184" s="17" t="s">
        <v>10</v>
      </c>
      <c r="H184" s="17">
        <v>1</v>
      </c>
    </row>
    <row r="185" spans="1:8">
      <c r="A185" s="17" t="s">
        <v>198</v>
      </c>
      <c r="B185" s="17">
        <v>166</v>
      </c>
      <c r="C185" s="17">
        <v>2</v>
      </c>
      <c r="D185" s="18">
        <v>46034.3173611111</v>
      </c>
      <c r="E185" s="17">
        <v>299</v>
      </c>
      <c r="F185" s="17" t="s">
        <v>24</v>
      </c>
      <c r="G185" s="17" t="s">
        <v>10</v>
      </c>
      <c r="H185" s="17">
        <v>22</v>
      </c>
    </row>
    <row r="186" spans="1:8">
      <c r="A186" s="17" t="s">
        <v>199</v>
      </c>
      <c r="B186" s="17">
        <v>216</v>
      </c>
      <c r="C186" s="17">
        <v>34</v>
      </c>
      <c r="D186" s="18">
        <v>46031.0472222222</v>
      </c>
      <c r="E186" s="17">
        <v>299</v>
      </c>
      <c r="F186" s="17" t="s">
        <v>24</v>
      </c>
      <c r="G186" s="17" t="s">
        <v>10</v>
      </c>
      <c r="H186" s="17">
        <v>14</v>
      </c>
    </row>
    <row r="187" spans="1:8">
      <c r="A187" s="17" t="s">
        <v>200</v>
      </c>
      <c r="B187" s="17">
        <v>230</v>
      </c>
      <c r="C187" s="17">
        <v>24</v>
      </c>
      <c r="D187" s="18">
        <v>46046.1041666667</v>
      </c>
      <c r="E187" s="17">
        <v>49</v>
      </c>
      <c r="F187" s="17" t="s">
        <v>12</v>
      </c>
      <c r="G187" s="17" t="s">
        <v>10</v>
      </c>
      <c r="H187" s="17">
        <v>65</v>
      </c>
    </row>
    <row r="188" spans="1:8">
      <c r="A188" s="17" t="s">
        <v>201</v>
      </c>
      <c r="B188" s="17">
        <v>258</v>
      </c>
      <c r="C188" s="17">
        <v>15</v>
      </c>
      <c r="D188" s="18">
        <v>46041.1444444444</v>
      </c>
      <c r="E188" s="17">
        <v>499</v>
      </c>
      <c r="F188" s="17" t="s">
        <v>9</v>
      </c>
      <c r="G188" s="17" t="s">
        <v>10</v>
      </c>
      <c r="H188" s="17">
        <v>78</v>
      </c>
    </row>
    <row r="189" spans="1:8">
      <c r="A189" s="17" t="s">
        <v>202</v>
      </c>
      <c r="B189" s="17">
        <v>338</v>
      </c>
      <c r="C189" s="17">
        <v>34</v>
      </c>
      <c r="D189" s="18">
        <v>46024.9930555556</v>
      </c>
      <c r="E189" s="17">
        <v>49</v>
      </c>
      <c r="F189" s="17" t="s">
        <v>12</v>
      </c>
      <c r="G189" s="17" t="s">
        <v>10</v>
      </c>
      <c r="H189" s="17">
        <v>38</v>
      </c>
    </row>
    <row r="190" spans="1:8">
      <c r="A190" s="17" t="s">
        <v>203</v>
      </c>
      <c r="B190" s="17">
        <v>32</v>
      </c>
      <c r="C190" s="17">
        <v>31</v>
      </c>
      <c r="D190" s="18">
        <v>46037.8340277778</v>
      </c>
      <c r="E190" s="17">
        <v>299</v>
      </c>
      <c r="F190" s="17" t="s">
        <v>12</v>
      </c>
      <c r="G190" s="17" t="s">
        <v>10</v>
      </c>
      <c r="H190" s="17">
        <v>51</v>
      </c>
    </row>
    <row r="191" spans="1:8">
      <c r="A191" s="17" t="s">
        <v>204</v>
      </c>
      <c r="B191" s="17">
        <v>252</v>
      </c>
      <c r="C191" s="17">
        <v>29</v>
      </c>
      <c r="D191" s="18">
        <v>46036.8791666667</v>
      </c>
      <c r="E191" s="17">
        <v>1499</v>
      </c>
      <c r="F191" s="17" t="s">
        <v>12</v>
      </c>
      <c r="G191" s="17" t="s">
        <v>10</v>
      </c>
      <c r="H191" s="17">
        <v>9</v>
      </c>
    </row>
    <row r="192" spans="1:8">
      <c r="A192" s="17" t="s">
        <v>205</v>
      </c>
      <c r="B192" s="17">
        <v>312</v>
      </c>
      <c r="C192" s="17">
        <v>10</v>
      </c>
      <c r="D192" s="18">
        <v>46051.0972222222</v>
      </c>
      <c r="E192" s="17">
        <v>799</v>
      </c>
      <c r="F192" s="17" t="s">
        <v>12</v>
      </c>
      <c r="G192" s="17" t="s">
        <v>10</v>
      </c>
      <c r="H192" s="17">
        <v>8</v>
      </c>
    </row>
    <row r="193" spans="1:8">
      <c r="A193" s="17" t="s">
        <v>206</v>
      </c>
      <c r="B193" s="17">
        <v>325</v>
      </c>
      <c r="C193" s="17">
        <v>38</v>
      </c>
      <c r="D193" s="18">
        <v>46027.3604166667</v>
      </c>
      <c r="E193" s="17">
        <v>1499</v>
      </c>
      <c r="F193" s="17" t="s">
        <v>15</v>
      </c>
      <c r="G193" s="17" t="s">
        <v>10</v>
      </c>
      <c r="H193" s="17">
        <v>70</v>
      </c>
    </row>
    <row r="194" spans="1:8">
      <c r="A194" s="17" t="s">
        <v>207</v>
      </c>
      <c r="B194" s="17">
        <v>306</v>
      </c>
      <c r="C194" s="17">
        <v>34</v>
      </c>
      <c r="D194" s="18">
        <v>46045.4333333333</v>
      </c>
      <c r="E194" s="17">
        <v>2999</v>
      </c>
      <c r="F194" s="17" t="s">
        <v>12</v>
      </c>
      <c r="G194" s="17" t="s">
        <v>10</v>
      </c>
      <c r="H194" s="17">
        <v>37</v>
      </c>
    </row>
    <row r="195" spans="1:8">
      <c r="A195" s="17" t="s">
        <v>208</v>
      </c>
      <c r="B195" s="17">
        <v>221</v>
      </c>
      <c r="C195" s="17">
        <v>7</v>
      </c>
      <c r="D195" s="18">
        <v>46037.6930555556</v>
      </c>
      <c r="E195" s="17">
        <v>149</v>
      </c>
      <c r="F195" s="17" t="s">
        <v>15</v>
      </c>
      <c r="G195" s="17" t="s">
        <v>10</v>
      </c>
      <c r="H195" s="17">
        <v>89</v>
      </c>
    </row>
    <row r="196" spans="1:8">
      <c r="A196" s="17" t="s">
        <v>209</v>
      </c>
      <c r="B196" s="17">
        <v>283</v>
      </c>
      <c r="C196" s="17">
        <v>14</v>
      </c>
      <c r="D196" s="18">
        <v>46026.8618055556</v>
      </c>
      <c r="E196" s="17">
        <v>99</v>
      </c>
      <c r="F196" s="17" t="s">
        <v>9</v>
      </c>
      <c r="G196" s="17" t="s">
        <v>10</v>
      </c>
      <c r="H196" s="17">
        <v>55</v>
      </c>
    </row>
    <row r="197" spans="1:8">
      <c r="A197" s="17" t="s">
        <v>210</v>
      </c>
      <c r="B197" s="17">
        <v>174</v>
      </c>
      <c r="C197" s="17">
        <v>30</v>
      </c>
      <c r="D197" s="18">
        <v>46037.3097222222</v>
      </c>
      <c r="E197" s="17">
        <v>49</v>
      </c>
      <c r="F197" s="17" t="s">
        <v>12</v>
      </c>
      <c r="G197" s="17" t="s">
        <v>10</v>
      </c>
      <c r="H197" s="17">
        <v>51</v>
      </c>
    </row>
    <row r="198" spans="1:8">
      <c r="A198" s="17" t="s">
        <v>211</v>
      </c>
      <c r="B198" s="17">
        <v>161</v>
      </c>
      <c r="C198" s="17">
        <v>28</v>
      </c>
      <c r="D198" s="18">
        <v>46036.9625</v>
      </c>
      <c r="E198" s="17">
        <v>49</v>
      </c>
      <c r="F198" s="17" t="s">
        <v>12</v>
      </c>
      <c r="G198" s="17" t="s">
        <v>10</v>
      </c>
      <c r="H198" s="17">
        <v>40</v>
      </c>
    </row>
    <row r="199" spans="1:8">
      <c r="A199" s="17" t="s">
        <v>212</v>
      </c>
      <c r="B199" s="17">
        <v>79</v>
      </c>
      <c r="C199" s="17">
        <v>31</v>
      </c>
      <c r="D199" s="18">
        <v>46044.3493055556</v>
      </c>
      <c r="E199" s="17">
        <v>99</v>
      </c>
      <c r="F199" s="17" t="s">
        <v>12</v>
      </c>
      <c r="G199" s="17" t="s">
        <v>10</v>
      </c>
      <c r="H199" s="17">
        <v>8</v>
      </c>
    </row>
    <row r="200" spans="1:8">
      <c r="A200" s="17" t="s">
        <v>213</v>
      </c>
      <c r="B200" s="17">
        <v>222</v>
      </c>
      <c r="C200" s="17">
        <v>7</v>
      </c>
      <c r="D200" s="18">
        <v>46025.0868055556</v>
      </c>
      <c r="E200" s="17">
        <v>149</v>
      </c>
      <c r="F200" s="17" t="s">
        <v>9</v>
      </c>
      <c r="G200" s="17" t="s">
        <v>10</v>
      </c>
      <c r="H200" s="17">
        <v>95</v>
      </c>
    </row>
    <row r="201" spans="1:8">
      <c r="A201" s="17" t="s">
        <v>214</v>
      </c>
      <c r="B201" s="17">
        <v>67</v>
      </c>
      <c r="C201" s="17">
        <v>36</v>
      </c>
      <c r="D201" s="18">
        <v>46046.49375</v>
      </c>
      <c r="E201" s="17">
        <v>99</v>
      </c>
      <c r="F201" s="17" t="s">
        <v>12</v>
      </c>
      <c r="G201" s="17" t="s">
        <v>10</v>
      </c>
      <c r="H201" s="17">
        <v>7</v>
      </c>
    </row>
    <row r="202" spans="1:8">
      <c r="A202" s="17" t="s">
        <v>215</v>
      </c>
      <c r="B202" s="17">
        <v>169</v>
      </c>
      <c r="C202" s="17">
        <v>8</v>
      </c>
      <c r="D202" s="18">
        <v>46041.7326388889</v>
      </c>
      <c r="E202" s="17">
        <v>99</v>
      </c>
      <c r="F202" s="17" t="s">
        <v>12</v>
      </c>
      <c r="G202" s="17" t="s">
        <v>10</v>
      </c>
      <c r="H202" s="17">
        <v>52</v>
      </c>
    </row>
    <row r="203" spans="1:8">
      <c r="A203" s="17" t="s">
        <v>216</v>
      </c>
      <c r="B203" s="17">
        <v>217</v>
      </c>
      <c r="C203" s="17">
        <v>4</v>
      </c>
      <c r="D203" s="18">
        <v>46034.9083333333</v>
      </c>
      <c r="E203" s="17">
        <v>49</v>
      </c>
      <c r="F203" s="17" t="s">
        <v>12</v>
      </c>
      <c r="G203" s="17" t="s">
        <v>10</v>
      </c>
      <c r="H203" s="17">
        <v>36</v>
      </c>
    </row>
    <row r="204" spans="1:8">
      <c r="A204" s="17" t="s">
        <v>217</v>
      </c>
      <c r="B204" s="17">
        <v>54</v>
      </c>
      <c r="C204" s="17">
        <v>37</v>
      </c>
      <c r="D204" s="18">
        <v>46042.3902777778</v>
      </c>
      <c r="E204" s="17">
        <v>149</v>
      </c>
      <c r="F204" s="17" t="s">
        <v>12</v>
      </c>
      <c r="G204" s="17" t="s">
        <v>10</v>
      </c>
      <c r="H204" s="17">
        <v>64</v>
      </c>
    </row>
    <row r="205" spans="1:8">
      <c r="A205" s="17" t="s">
        <v>218</v>
      </c>
      <c r="B205" s="17">
        <v>247</v>
      </c>
      <c r="C205" s="17">
        <v>15</v>
      </c>
      <c r="D205" s="18">
        <v>46029.1958333333</v>
      </c>
      <c r="E205" s="17">
        <v>49</v>
      </c>
      <c r="F205" s="17" t="s">
        <v>24</v>
      </c>
      <c r="G205" s="17" t="s">
        <v>10</v>
      </c>
      <c r="H205" s="17">
        <v>13</v>
      </c>
    </row>
    <row r="206" spans="1:8">
      <c r="A206" s="17" t="s">
        <v>219</v>
      </c>
      <c r="B206" s="17">
        <v>59</v>
      </c>
      <c r="C206" s="17">
        <v>18</v>
      </c>
      <c r="D206" s="18">
        <v>46034.7243055556</v>
      </c>
      <c r="E206" s="17">
        <v>49</v>
      </c>
      <c r="F206" s="17" t="s">
        <v>24</v>
      </c>
      <c r="G206" s="17" t="s">
        <v>10</v>
      </c>
      <c r="H206" s="17">
        <v>73</v>
      </c>
    </row>
    <row r="207" spans="1:8">
      <c r="A207" s="17" t="s">
        <v>220</v>
      </c>
      <c r="B207" s="17">
        <v>288</v>
      </c>
      <c r="C207" s="17">
        <v>40</v>
      </c>
      <c r="D207" s="18">
        <v>46030.5791666667</v>
      </c>
      <c r="E207" s="17">
        <v>49</v>
      </c>
      <c r="F207" s="17" t="s">
        <v>12</v>
      </c>
      <c r="G207" s="17" t="s">
        <v>25</v>
      </c>
      <c r="H207" s="17">
        <v>78</v>
      </c>
    </row>
    <row r="208" spans="1:8">
      <c r="A208" s="17" t="s">
        <v>221</v>
      </c>
      <c r="B208" s="17">
        <v>14</v>
      </c>
      <c r="C208" s="17">
        <v>39</v>
      </c>
      <c r="D208" s="18">
        <v>46044.8576388889</v>
      </c>
      <c r="E208" s="17">
        <v>799</v>
      </c>
      <c r="F208" s="17" t="s">
        <v>12</v>
      </c>
      <c r="G208" s="17" t="s">
        <v>10</v>
      </c>
      <c r="H208" s="17">
        <v>84</v>
      </c>
    </row>
    <row r="209" spans="1:8">
      <c r="A209" s="17" t="s">
        <v>222</v>
      </c>
      <c r="B209" s="17">
        <v>15</v>
      </c>
      <c r="C209" s="17">
        <v>12</v>
      </c>
      <c r="D209" s="18">
        <v>46049.9284722222</v>
      </c>
      <c r="E209" s="17">
        <v>149</v>
      </c>
      <c r="F209" s="17" t="s">
        <v>12</v>
      </c>
      <c r="G209" s="17" t="s">
        <v>10</v>
      </c>
      <c r="H209" s="17">
        <v>34</v>
      </c>
    </row>
    <row r="210" spans="1:8">
      <c r="A210" s="17" t="s">
        <v>223</v>
      </c>
      <c r="B210" s="17">
        <v>174</v>
      </c>
      <c r="C210" s="17">
        <v>23</v>
      </c>
      <c r="D210" s="18">
        <v>46045.4152777778</v>
      </c>
      <c r="E210" s="17">
        <v>149</v>
      </c>
      <c r="F210" s="17" t="s">
        <v>12</v>
      </c>
      <c r="G210" s="17" t="s">
        <v>10</v>
      </c>
      <c r="H210" s="17">
        <v>0</v>
      </c>
    </row>
    <row r="211" spans="1:8">
      <c r="A211" s="17" t="s">
        <v>224</v>
      </c>
      <c r="B211" s="17">
        <v>337</v>
      </c>
      <c r="C211" s="17">
        <v>26</v>
      </c>
      <c r="D211" s="18">
        <v>46028.1916666667</v>
      </c>
      <c r="E211" s="17">
        <v>49</v>
      </c>
      <c r="F211" s="17" t="s">
        <v>12</v>
      </c>
      <c r="G211" s="17" t="s">
        <v>10</v>
      </c>
      <c r="H211" s="17">
        <v>8</v>
      </c>
    </row>
    <row r="212" spans="1:8">
      <c r="A212" s="17" t="s">
        <v>225</v>
      </c>
      <c r="B212" s="17">
        <v>16</v>
      </c>
      <c r="C212" s="17">
        <v>6</v>
      </c>
      <c r="D212" s="18">
        <v>46027.9861111111</v>
      </c>
      <c r="E212" s="17">
        <v>1499</v>
      </c>
      <c r="F212" s="17" t="s">
        <v>12</v>
      </c>
      <c r="G212" s="17" t="s">
        <v>10</v>
      </c>
      <c r="H212" s="17">
        <v>95</v>
      </c>
    </row>
    <row r="213" spans="1:8">
      <c r="A213" s="17" t="s">
        <v>226</v>
      </c>
      <c r="B213" s="17">
        <v>215</v>
      </c>
      <c r="C213" s="17">
        <v>30</v>
      </c>
      <c r="D213" s="18">
        <v>46039.2666666667</v>
      </c>
      <c r="E213" s="17">
        <v>49</v>
      </c>
      <c r="F213" s="17" t="s">
        <v>12</v>
      </c>
      <c r="G213" s="17" t="s">
        <v>10</v>
      </c>
      <c r="H213" s="17">
        <v>43</v>
      </c>
    </row>
    <row r="214" spans="1:8">
      <c r="A214" s="17" t="s">
        <v>227</v>
      </c>
      <c r="B214" s="17">
        <v>167</v>
      </c>
      <c r="C214" s="17">
        <v>37</v>
      </c>
      <c r="D214" s="18">
        <v>46028.4715277778</v>
      </c>
      <c r="E214" s="17">
        <v>99</v>
      </c>
      <c r="F214" s="17" t="s">
        <v>12</v>
      </c>
      <c r="G214" s="17" t="s">
        <v>10</v>
      </c>
      <c r="H214" s="17">
        <v>76</v>
      </c>
    </row>
    <row r="215" spans="1:8">
      <c r="A215" s="17" t="s">
        <v>228</v>
      </c>
      <c r="B215" s="17">
        <v>81</v>
      </c>
      <c r="C215" s="17">
        <v>40</v>
      </c>
      <c r="D215" s="18">
        <v>46025.0479166667</v>
      </c>
      <c r="E215" s="17">
        <v>49</v>
      </c>
      <c r="F215" s="17" t="s">
        <v>12</v>
      </c>
      <c r="G215" s="17" t="s">
        <v>10</v>
      </c>
      <c r="H215" s="17">
        <v>6</v>
      </c>
    </row>
    <row r="216" spans="1:8">
      <c r="A216" s="17" t="s">
        <v>229</v>
      </c>
      <c r="B216" s="17">
        <v>227</v>
      </c>
      <c r="C216" s="17">
        <v>28</v>
      </c>
      <c r="D216" s="18">
        <v>46044.0951388889</v>
      </c>
      <c r="E216" s="17">
        <v>99</v>
      </c>
      <c r="F216" s="17" t="s">
        <v>12</v>
      </c>
      <c r="G216" s="17" t="s">
        <v>10</v>
      </c>
      <c r="H216" s="17">
        <v>62</v>
      </c>
    </row>
    <row r="217" spans="1:8">
      <c r="A217" s="17" t="s">
        <v>230</v>
      </c>
      <c r="B217" s="17">
        <v>140</v>
      </c>
      <c r="C217" s="17">
        <v>14</v>
      </c>
      <c r="D217" s="18">
        <v>46042.6013888889</v>
      </c>
      <c r="E217" s="17">
        <v>299</v>
      </c>
      <c r="F217" s="17" t="s">
        <v>9</v>
      </c>
      <c r="G217" s="17" t="s">
        <v>10</v>
      </c>
      <c r="H217" s="17">
        <v>96</v>
      </c>
    </row>
    <row r="218" spans="1:8">
      <c r="A218" s="17" t="s">
        <v>231</v>
      </c>
      <c r="B218" s="17">
        <v>221</v>
      </c>
      <c r="C218" s="17">
        <v>8</v>
      </c>
      <c r="D218" s="18">
        <v>46039.1402777778</v>
      </c>
      <c r="E218" s="17">
        <v>299</v>
      </c>
      <c r="F218" s="17" t="s">
        <v>12</v>
      </c>
      <c r="G218" s="17" t="s">
        <v>10</v>
      </c>
      <c r="H218" s="17">
        <v>36</v>
      </c>
    </row>
    <row r="219" spans="1:8">
      <c r="A219" s="17" t="s">
        <v>232</v>
      </c>
      <c r="B219" s="17">
        <v>250</v>
      </c>
      <c r="C219" s="17">
        <v>34</v>
      </c>
      <c r="D219" s="18">
        <v>46044.9006944444</v>
      </c>
      <c r="E219" s="17">
        <v>299</v>
      </c>
      <c r="F219" s="17" t="s">
        <v>9</v>
      </c>
      <c r="G219" s="17" t="s">
        <v>10</v>
      </c>
      <c r="H219" s="17">
        <v>85</v>
      </c>
    </row>
    <row r="220" spans="1:8">
      <c r="A220" s="17" t="s">
        <v>233</v>
      </c>
      <c r="B220" s="17">
        <v>203</v>
      </c>
      <c r="C220" s="17">
        <v>39</v>
      </c>
      <c r="D220" s="18">
        <v>46032.0513888889</v>
      </c>
      <c r="E220" s="17">
        <v>49</v>
      </c>
      <c r="F220" s="17" t="s">
        <v>12</v>
      </c>
      <c r="G220" s="17" t="s">
        <v>10</v>
      </c>
      <c r="H220" s="17">
        <v>7</v>
      </c>
    </row>
    <row r="221" spans="1:8">
      <c r="A221" s="17" t="s">
        <v>234</v>
      </c>
      <c r="B221" s="17">
        <v>109</v>
      </c>
      <c r="C221" s="17">
        <v>9</v>
      </c>
      <c r="D221" s="18">
        <v>46023.2631944444</v>
      </c>
      <c r="E221" s="17">
        <v>499</v>
      </c>
      <c r="F221" s="17" t="s">
        <v>9</v>
      </c>
      <c r="G221" s="17" t="s">
        <v>10</v>
      </c>
      <c r="H221" s="17">
        <v>97</v>
      </c>
    </row>
    <row r="222" spans="1:8">
      <c r="A222" s="17" t="s">
        <v>235</v>
      </c>
      <c r="B222" s="17">
        <v>62</v>
      </c>
      <c r="C222" s="17">
        <v>1</v>
      </c>
      <c r="D222" s="18">
        <v>46031.3888888889</v>
      </c>
      <c r="E222" s="17">
        <v>4999</v>
      </c>
      <c r="F222" s="17" t="s">
        <v>9</v>
      </c>
      <c r="G222" s="17" t="s">
        <v>10</v>
      </c>
      <c r="H222" s="17">
        <v>63</v>
      </c>
    </row>
    <row r="223" spans="1:8">
      <c r="A223" s="17" t="s">
        <v>236</v>
      </c>
      <c r="B223" s="17">
        <v>67</v>
      </c>
      <c r="C223" s="17">
        <v>25</v>
      </c>
      <c r="D223" s="18">
        <v>46046.5493055556</v>
      </c>
      <c r="E223" s="17">
        <v>49</v>
      </c>
      <c r="F223" s="17" t="s">
        <v>12</v>
      </c>
      <c r="G223" s="17" t="s">
        <v>10</v>
      </c>
      <c r="H223" s="17">
        <v>68</v>
      </c>
    </row>
    <row r="224" spans="1:8">
      <c r="A224" s="17" t="s">
        <v>237</v>
      </c>
      <c r="B224" s="17">
        <v>287</v>
      </c>
      <c r="C224" s="17">
        <v>23</v>
      </c>
      <c r="D224" s="18">
        <v>46045.3138888889</v>
      </c>
      <c r="E224" s="17">
        <v>49</v>
      </c>
      <c r="F224" s="17" t="s">
        <v>12</v>
      </c>
      <c r="G224" s="17" t="s">
        <v>10</v>
      </c>
      <c r="H224" s="17">
        <v>9</v>
      </c>
    </row>
    <row r="225" spans="1:8">
      <c r="A225" s="17" t="s">
        <v>238</v>
      </c>
      <c r="B225" s="17">
        <v>224</v>
      </c>
      <c r="C225" s="17">
        <v>2</v>
      </c>
      <c r="D225" s="18">
        <v>46035.9597222222</v>
      </c>
      <c r="E225" s="17">
        <v>49</v>
      </c>
      <c r="F225" s="17" t="s">
        <v>24</v>
      </c>
      <c r="G225" s="17" t="s">
        <v>10</v>
      </c>
      <c r="H225" s="17">
        <v>58</v>
      </c>
    </row>
    <row r="226" spans="1:8">
      <c r="A226" s="17" t="s">
        <v>239</v>
      </c>
      <c r="B226" s="17">
        <v>161</v>
      </c>
      <c r="C226" s="17">
        <v>37</v>
      </c>
      <c r="D226" s="18">
        <v>46052.1215277778</v>
      </c>
      <c r="E226" s="17">
        <v>299</v>
      </c>
      <c r="F226" s="17" t="s">
        <v>12</v>
      </c>
      <c r="G226" s="17" t="s">
        <v>10</v>
      </c>
      <c r="H226" s="17">
        <v>54</v>
      </c>
    </row>
    <row r="227" spans="1:8">
      <c r="A227" s="17" t="s">
        <v>240</v>
      </c>
      <c r="B227" s="17">
        <v>328</v>
      </c>
      <c r="C227" s="17">
        <v>27</v>
      </c>
      <c r="D227" s="18">
        <v>46041.53125</v>
      </c>
      <c r="E227" s="17">
        <v>49</v>
      </c>
      <c r="F227" s="17" t="s">
        <v>12</v>
      </c>
      <c r="G227" s="17" t="s">
        <v>38</v>
      </c>
      <c r="H227" s="17">
        <v>37</v>
      </c>
    </row>
    <row r="228" spans="1:8">
      <c r="A228" s="17" t="s">
        <v>241</v>
      </c>
      <c r="B228" s="17">
        <v>167</v>
      </c>
      <c r="C228" s="17">
        <v>11</v>
      </c>
      <c r="D228" s="18">
        <v>46026.5006944444</v>
      </c>
      <c r="E228" s="17">
        <v>1499</v>
      </c>
      <c r="F228" s="17" t="s">
        <v>24</v>
      </c>
      <c r="G228" s="17" t="s">
        <v>25</v>
      </c>
      <c r="H228" s="17">
        <v>79</v>
      </c>
    </row>
    <row r="229" spans="1:8">
      <c r="A229" s="17" t="s">
        <v>242</v>
      </c>
      <c r="B229" s="17">
        <v>186</v>
      </c>
      <c r="C229" s="17">
        <v>6</v>
      </c>
      <c r="D229" s="18">
        <v>46037.9569444444</v>
      </c>
      <c r="E229" s="17">
        <v>49</v>
      </c>
      <c r="F229" s="17" t="s">
        <v>9</v>
      </c>
      <c r="G229" s="17" t="s">
        <v>10</v>
      </c>
      <c r="H229" s="17">
        <v>55</v>
      </c>
    </row>
    <row r="230" spans="1:8">
      <c r="A230" s="17" t="s">
        <v>243</v>
      </c>
      <c r="B230" s="17">
        <v>224</v>
      </c>
      <c r="C230" s="17">
        <v>38</v>
      </c>
      <c r="D230" s="18">
        <v>46050.1354166667</v>
      </c>
      <c r="E230" s="17">
        <v>299</v>
      </c>
      <c r="F230" s="17" t="s">
        <v>9</v>
      </c>
      <c r="G230" s="17" t="s">
        <v>25</v>
      </c>
      <c r="H230" s="17">
        <v>51</v>
      </c>
    </row>
    <row r="231" spans="1:8">
      <c r="A231" s="17" t="s">
        <v>244</v>
      </c>
      <c r="B231" s="17">
        <v>159</v>
      </c>
      <c r="C231" s="17">
        <v>22</v>
      </c>
      <c r="D231" s="18">
        <v>46039.1006944444</v>
      </c>
      <c r="E231" s="17">
        <v>799</v>
      </c>
      <c r="F231" s="17" t="s">
        <v>12</v>
      </c>
      <c r="G231" s="17" t="s">
        <v>10</v>
      </c>
      <c r="H231" s="17">
        <v>28</v>
      </c>
    </row>
    <row r="232" spans="1:8">
      <c r="A232" s="17" t="s">
        <v>245</v>
      </c>
      <c r="B232" s="17">
        <v>262</v>
      </c>
      <c r="C232" s="17">
        <v>8</v>
      </c>
      <c r="D232" s="18">
        <v>46033.2111111111</v>
      </c>
      <c r="E232" s="17">
        <v>149</v>
      </c>
      <c r="F232" s="17" t="s">
        <v>12</v>
      </c>
      <c r="G232" s="17" t="s">
        <v>10</v>
      </c>
      <c r="H232" s="17">
        <v>67</v>
      </c>
    </row>
    <row r="233" spans="1:8">
      <c r="A233" s="17" t="s">
        <v>246</v>
      </c>
      <c r="B233" s="17">
        <v>179</v>
      </c>
      <c r="C233" s="17">
        <v>23</v>
      </c>
      <c r="D233" s="18">
        <v>46039.2895833333</v>
      </c>
      <c r="E233" s="17">
        <v>49</v>
      </c>
      <c r="F233" s="17" t="s">
        <v>9</v>
      </c>
      <c r="G233" s="17" t="s">
        <v>10</v>
      </c>
      <c r="H233" s="17">
        <v>93</v>
      </c>
    </row>
    <row r="234" spans="1:8">
      <c r="A234" s="17" t="s">
        <v>247</v>
      </c>
      <c r="B234" s="17">
        <v>76</v>
      </c>
      <c r="C234" s="17">
        <v>16</v>
      </c>
      <c r="D234" s="18">
        <v>46049.8694444444</v>
      </c>
      <c r="E234" s="17">
        <v>299</v>
      </c>
      <c r="F234" s="17" t="s">
        <v>12</v>
      </c>
      <c r="G234" s="17" t="s">
        <v>10</v>
      </c>
      <c r="H234" s="17">
        <v>13</v>
      </c>
    </row>
    <row r="235" spans="1:8">
      <c r="A235" s="17" t="s">
        <v>248</v>
      </c>
      <c r="B235" s="17">
        <v>89</v>
      </c>
      <c r="C235" s="17">
        <v>39</v>
      </c>
      <c r="D235" s="18">
        <v>46027.3416666667</v>
      </c>
      <c r="E235" s="17">
        <v>299</v>
      </c>
      <c r="F235" s="17" t="s">
        <v>12</v>
      </c>
      <c r="G235" s="17" t="s">
        <v>10</v>
      </c>
      <c r="H235" s="17">
        <v>19</v>
      </c>
    </row>
    <row r="236" spans="1:8">
      <c r="A236" s="17" t="s">
        <v>249</v>
      </c>
      <c r="B236" s="17">
        <v>91</v>
      </c>
      <c r="C236" s="17">
        <v>32</v>
      </c>
      <c r="D236" s="18">
        <v>46047.8361111111</v>
      </c>
      <c r="E236" s="17">
        <v>49</v>
      </c>
      <c r="F236" s="17" t="s">
        <v>12</v>
      </c>
      <c r="G236" s="17" t="s">
        <v>10</v>
      </c>
      <c r="H236" s="17">
        <v>59</v>
      </c>
    </row>
    <row r="237" spans="1:8">
      <c r="A237" s="17" t="s">
        <v>250</v>
      </c>
      <c r="B237" s="17">
        <v>297</v>
      </c>
      <c r="C237" s="17">
        <v>29</v>
      </c>
      <c r="D237" s="18">
        <v>46047.7833333333</v>
      </c>
      <c r="E237" s="17">
        <v>99</v>
      </c>
      <c r="F237" s="17" t="s">
        <v>24</v>
      </c>
      <c r="G237" s="17" t="s">
        <v>38</v>
      </c>
      <c r="H237" s="17">
        <v>87</v>
      </c>
    </row>
    <row r="238" spans="1:8">
      <c r="A238" s="17" t="s">
        <v>251</v>
      </c>
      <c r="B238" s="17">
        <v>326</v>
      </c>
      <c r="C238" s="17">
        <v>40</v>
      </c>
      <c r="D238" s="18">
        <v>46052.7784722222</v>
      </c>
      <c r="E238" s="17">
        <v>499</v>
      </c>
      <c r="F238" s="17" t="s">
        <v>24</v>
      </c>
      <c r="G238" s="17" t="s">
        <v>10</v>
      </c>
      <c r="H238" s="17">
        <v>41</v>
      </c>
    </row>
    <row r="239" spans="1:8">
      <c r="A239" s="17" t="s">
        <v>252</v>
      </c>
      <c r="B239" s="17">
        <v>78</v>
      </c>
      <c r="C239" s="17">
        <v>29</v>
      </c>
      <c r="D239" s="18">
        <v>46050.8472222222</v>
      </c>
      <c r="E239" s="17">
        <v>149</v>
      </c>
      <c r="F239" s="17" t="s">
        <v>12</v>
      </c>
      <c r="G239" s="17" t="s">
        <v>10</v>
      </c>
      <c r="H239" s="17">
        <v>8</v>
      </c>
    </row>
    <row r="240" spans="1:8">
      <c r="A240" s="17" t="s">
        <v>253</v>
      </c>
      <c r="B240" s="17">
        <v>156</v>
      </c>
      <c r="C240" s="17">
        <v>18</v>
      </c>
      <c r="D240" s="18">
        <v>46038.6111111111</v>
      </c>
      <c r="E240" s="17">
        <v>2999</v>
      </c>
      <c r="F240" s="17" t="s">
        <v>24</v>
      </c>
      <c r="G240" s="17" t="s">
        <v>10</v>
      </c>
      <c r="H240" s="17">
        <v>75</v>
      </c>
    </row>
    <row r="241" spans="1:8">
      <c r="A241" s="17" t="s">
        <v>254</v>
      </c>
      <c r="B241" s="17">
        <v>38</v>
      </c>
      <c r="C241" s="17">
        <v>20</v>
      </c>
      <c r="D241" s="18">
        <v>46024.4805555556</v>
      </c>
      <c r="E241" s="17">
        <v>49</v>
      </c>
      <c r="F241" s="17" t="s">
        <v>9</v>
      </c>
      <c r="G241" s="17" t="s">
        <v>25</v>
      </c>
      <c r="H241" s="17">
        <v>59</v>
      </c>
    </row>
    <row r="242" spans="1:8">
      <c r="A242" s="17" t="s">
        <v>255</v>
      </c>
      <c r="B242" s="17">
        <v>189</v>
      </c>
      <c r="C242" s="17">
        <v>19</v>
      </c>
      <c r="D242" s="18">
        <v>46037.04375</v>
      </c>
      <c r="E242" s="17">
        <v>99</v>
      </c>
      <c r="F242" s="17" t="s">
        <v>12</v>
      </c>
      <c r="G242" s="17" t="s">
        <v>25</v>
      </c>
      <c r="H242" s="17">
        <v>9</v>
      </c>
    </row>
    <row r="243" spans="1:8">
      <c r="A243" s="17" t="s">
        <v>256</v>
      </c>
      <c r="B243" s="17">
        <v>305</v>
      </c>
      <c r="C243" s="17">
        <v>33</v>
      </c>
      <c r="D243" s="18">
        <v>46043.1104166667</v>
      </c>
      <c r="E243" s="17">
        <v>299</v>
      </c>
      <c r="F243" s="17" t="s">
        <v>24</v>
      </c>
      <c r="G243" s="17" t="s">
        <v>10</v>
      </c>
      <c r="H243" s="17">
        <v>49</v>
      </c>
    </row>
    <row r="244" spans="1:8">
      <c r="A244" s="17" t="s">
        <v>257</v>
      </c>
      <c r="B244" s="17">
        <v>22</v>
      </c>
      <c r="C244" s="17">
        <v>29</v>
      </c>
      <c r="D244" s="18">
        <v>46037.7743055556</v>
      </c>
      <c r="E244" s="17">
        <v>799</v>
      </c>
      <c r="F244" s="17" t="s">
        <v>12</v>
      </c>
      <c r="G244" s="17" t="s">
        <v>10</v>
      </c>
      <c r="H244" s="17">
        <v>73</v>
      </c>
    </row>
    <row r="245" spans="1:8">
      <c r="A245" s="17" t="s">
        <v>258</v>
      </c>
      <c r="B245" s="17">
        <v>310</v>
      </c>
      <c r="C245" s="17">
        <v>31</v>
      </c>
      <c r="D245" s="18">
        <v>46043.2638888889</v>
      </c>
      <c r="E245" s="17">
        <v>49</v>
      </c>
      <c r="F245" s="17" t="s">
        <v>24</v>
      </c>
      <c r="G245" s="17" t="s">
        <v>10</v>
      </c>
      <c r="H245" s="17">
        <v>64</v>
      </c>
    </row>
    <row r="246" spans="1:8">
      <c r="A246" s="17" t="s">
        <v>259</v>
      </c>
      <c r="B246" s="17">
        <v>53</v>
      </c>
      <c r="C246" s="17">
        <v>22</v>
      </c>
      <c r="D246" s="18">
        <v>46027.0611111111</v>
      </c>
      <c r="E246" s="17">
        <v>299</v>
      </c>
      <c r="F246" s="17" t="s">
        <v>12</v>
      </c>
      <c r="G246" s="17" t="s">
        <v>10</v>
      </c>
      <c r="H246" s="17">
        <v>91</v>
      </c>
    </row>
    <row r="247" spans="1:8">
      <c r="A247" s="17" t="s">
        <v>260</v>
      </c>
      <c r="B247" s="17">
        <v>89</v>
      </c>
      <c r="C247" s="17">
        <v>3</v>
      </c>
      <c r="D247" s="18">
        <v>46025.6951388889</v>
      </c>
      <c r="E247" s="17">
        <v>149</v>
      </c>
      <c r="F247" s="17" t="s">
        <v>24</v>
      </c>
      <c r="G247" s="17" t="s">
        <v>10</v>
      </c>
      <c r="H247" s="17">
        <v>31</v>
      </c>
    </row>
    <row r="248" spans="1:8">
      <c r="A248" s="17" t="s">
        <v>261</v>
      </c>
      <c r="B248" s="17">
        <v>269</v>
      </c>
      <c r="C248" s="17">
        <v>34</v>
      </c>
      <c r="D248" s="18">
        <v>46045.6027777778</v>
      </c>
      <c r="E248" s="17">
        <v>149</v>
      </c>
      <c r="F248" s="17" t="s">
        <v>12</v>
      </c>
      <c r="G248" s="17" t="s">
        <v>10</v>
      </c>
      <c r="H248" s="17">
        <v>78</v>
      </c>
    </row>
    <row r="249" spans="1:8">
      <c r="A249" s="17" t="s">
        <v>262</v>
      </c>
      <c r="B249" s="17">
        <v>145</v>
      </c>
      <c r="C249" s="17">
        <v>25</v>
      </c>
      <c r="D249" s="18">
        <v>46028.4743055556</v>
      </c>
      <c r="E249" s="17">
        <v>799</v>
      </c>
      <c r="F249" s="17" t="s">
        <v>12</v>
      </c>
      <c r="G249" s="17" t="s">
        <v>10</v>
      </c>
      <c r="H249" s="17">
        <v>52</v>
      </c>
    </row>
    <row r="250" spans="1:8">
      <c r="A250" s="17" t="s">
        <v>263</v>
      </c>
      <c r="B250" s="17">
        <v>307</v>
      </c>
      <c r="C250" s="17">
        <v>4</v>
      </c>
      <c r="D250" s="18">
        <v>46047.4465277778</v>
      </c>
      <c r="E250" s="17">
        <v>1499</v>
      </c>
      <c r="F250" s="17" t="s">
        <v>12</v>
      </c>
      <c r="G250" s="17" t="s">
        <v>10</v>
      </c>
      <c r="H250" s="17">
        <v>80</v>
      </c>
    </row>
    <row r="251" spans="1:8">
      <c r="A251" s="17" t="s">
        <v>264</v>
      </c>
      <c r="B251" s="17">
        <v>169</v>
      </c>
      <c r="C251" s="17">
        <v>7</v>
      </c>
      <c r="D251" s="18">
        <v>46043.4194444444</v>
      </c>
      <c r="E251" s="17">
        <v>1499</v>
      </c>
      <c r="F251" s="17" t="s">
        <v>9</v>
      </c>
      <c r="G251" s="17" t="s">
        <v>10</v>
      </c>
      <c r="H251" s="17">
        <v>71</v>
      </c>
    </row>
    <row r="252" spans="1:8">
      <c r="A252" s="17" t="s">
        <v>265</v>
      </c>
      <c r="B252" s="17">
        <v>130</v>
      </c>
      <c r="C252" s="17">
        <v>39</v>
      </c>
      <c r="D252" s="18">
        <v>46044.5125</v>
      </c>
      <c r="E252" s="17">
        <v>2999</v>
      </c>
      <c r="F252" s="17" t="s">
        <v>9</v>
      </c>
      <c r="G252" s="17" t="s">
        <v>10</v>
      </c>
      <c r="H252" s="17">
        <v>19</v>
      </c>
    </row>
    <row r="253" spans="1:8">
      <c r="A253" s="17" t="s">
        <v>266</v>
      </c>
      <c r="B253" s="17">
        <v>340</v>
      </c>
      <c r="C253" s="17">
        <v>10</v>
      </c>
      <c r="D253" s="18">
        <v>46033.1090277778</v>
      </c>
      <c r="E253" s="17">
        <v>49</v>
      </c>
      <c r="F253" s="17" t="s">
        <v>24</v>
      </c>
      <c r="G253" s="17" t="s">
        <v>10</v>
      </c>
      <c r="H253" s="17">
        <v>44</v>
      </c>
    </row>
    <row r="254" spans="1:8">
      <c r="A254" s="17" t="s">
        <v>267</v>
      </c>
      <c r="B254" s="17">
        <v>340</v>
      </c>
      <c r="C254" s="17">
        <v>26</v>
      </c>
      <c r="D254" s="18">
        <v>46032.8638888889</v>
      </c>
      <c r="E254" s="17">
        <v>299</v>
      </c>
      <c r="F254" s="17" t="s">
        <v>24</v>
      </c>
      <c r="G254" s="17" t="s">
        <v>10</v>
      </c>
      <c r="H254" s="17">
        <v>16</v>
      </c>
    </row>
    <row r="255" spans="1:8">
      <c r="A255" s="17" t="s">
        <v>268</v>
      </c>
      <c r="B255" s="17">
        <v>159</v>
      </c>
      <c r="C255" s="17">
        <v>36</v>
      </c>
      <c r="D255" s="18">
        <v>46042.9201388889</v>
      </c>
      <c r="E255" s="17">
        <v>49</v>
      </c>
      <c r="F255" s="17" t="s">
        <v>12</v>
      </c>
      <c r="G255" s="17" t="s">
        <v>10</v>
      </c>
      <c r="H255" s="17">
        <v>48</v>
      </c>
    </row>
    <row r="256" spans="1:8">
      <c r="A256" s="17" t="s">
        <v>269</v>
      </c>
      <c r="B256" s="17">
        <v>66</v>
      </c>
      <c r="C256" s="17">
        <v>34</v>
      </c>
      <c r="D256" s="18">
        <v>46043.4527777778</v>
      </c>
      <c r="E256" s="17">
        <v>799</v>
      </c>
      <c r="F256" s="17" t="s">
        <v>12</v>
      </c>
      <c r="G256" s="17" t="s">
        <v>10</v>
      </c>
      <c r="H256" s="17">
        <v>11</v>
      </c>
    </row>
    <row r="257" spans="1:8">
      <c r="A257" s="17" t="s">
        <v>270</v>
      </c>
      <c r="B257" s="17">
        <v>261</v>
      </c>
      <c r="C257" s="17">
        <v>24</v>
      </c>
      <c r="D257" s="18">
        <v>46043.89375</v>
      </c>
      <c r="E257" s="17">
        <v>799</v>
      </c>
      <c r="F257" s="17" t="s">
        <v>24</v>
      </c>
      <c r="G257" s="17" t="s">
        <v>10</v>
      </c>
      <c r="H257" s="17">
        <v>2</v>
      </c>
    </row>
    <row r="258" spans="1:8">
      <c r="A258" s="17" t="s">
        <v>271</v>
      </c>
      <c r="B258" s="17">
        <v>110</v>
      </c>
      <c r="C258" s="17">
        <v>22</v>
      </c>
      <c r="D258" s="18">
        <v>46034.3826388889</v>
      </c>
      <c r="E258" s="17">
        <v>799</v>
      </c>
      <c r="F258" s="17" t="s">
        <v>12</v>
      </c>
      <c r="G258" s="17" t="s">
        <v>10</v>
      </c>
      <c r="H258" s="17">
        <v>98</v>
      </c>
    </row>
    <row r="259" spans="1:8">
      <c r="A259" s="17" t="s">
        <v>272</v>
      </c>
      <c r="B259" s="17">
        <v>71</v>
      </c>
      <c r="C259" s="17">
        <v>10</v>
      </c>
      <c r="D259" s="18">
        <v>46038.2597222222</v>
      </c>
      <c r="E259" s="17">
        <v>49</v>
      </c>
      <c r="F259" s="17" t="s">
        <v>12</v>
      </c>
      <c r="G259" s="17" t="s">
        <v>10</v>
      </c>
      <c r="H259" s="17">
        <v>9</v>
      </c>
    </row>
    <row r="260" spans="1:8">
      <c r="A260" s="17" t="s">
        <v>273</v>
      </c>
      <c r="B260" s="17">
        <v>277</v>
      </c>
      <c r="C260" s="17">
        <v>34</v>
      </c>
      <c r="D260" s="18">
        <v>46032.1472222222</v>
      </c>
      <c r="E260" s="17">
        <v>49</v>
      </c>
      <c r="F260" s="17" t="s">
        <v>12</v>
      </c>
      <c r="G260" s="17" t="s">
        <v>10</v>
      </c>
      <c r="H260" s="17">
        <v>4</v>
      </c>
    </row>
    <row r="261" spans="1:8">
      <c r="A261" s="17" t="s">
        <v>274</v>
      </c>
      <c r="B261" s="17">
        <v>317</v>
      </c>
      <c r="C261" s="17">
        <v>9</v>
      </c>
      <c r="D261" s="18">
        <v>46044.4555555556</v>
      </c>
      <c r="E261" s="17">
        <v>499</v>
      </c>
      <c r="F261" s="17" t="s">
        <v>9</v>
      </c>
      <c r="G261" s="17" t="s">
        <v>10</v>
      </c>
      <c r="H261" s="17">
        <v>76</v>
      </c>
    </row>
    <row r="262" spans="1:8">
      <c r="A262" s="17" t="s">
        <v>275</v>
      </c>
      <c r="B262" s="17">
        <v>93</v>
      </c>
      <c r="C262" s="17">
        <v>40</v>
      </c>
      <c r="D262" s="18">
        <v>46035.1736111111</v>
      </c>
      <c r="E262" s="17">
        <v>299</v>
      </c>
      <c r="F262" s="17" t="s">
        <v>12</v>
      </c>
      <c r="G262" s="17" t="s">
        <v>10</v>
      </c>
      <c r="H262" s="17">
        <v>21</v>
      </c>
    </row>
    <row r="263" spans="1:8">
      <c r="A263" s="17" t="s">
        <v>276</v>
      </c>
      <c r="B263" s="17">
        <v>211</v>
      </c>
      <c r="C263" s="17">
        <v>24</v>
      </c>
      <c r="D263" s="18">
        <v>46046.5847222222</v>
      </c>
      <c r="E263" s="17">
        <v>99</v>
      </c>
      <c r="F263" s="17" t="s">
        <v>15</v>
      </c>
      <c r="G263" s="17" t="s">
        <v>10</v>
      </c>
      <c r="H263" s="17">
        <v>86</v>
      </c>
    </row>
    <row r="264" spans="1:8">
      <c r="A264" s="17" t="s">
        <v>277</v>
      </c>
      <c r="B264" s="17">
        <v>313</v>
      </c>
      <c r="C264" s="17">
        <v>19</v>
      </c>
      <c r="D264" s="18">
        <v>46046.3111111111</v>
      </c>
      <c r="E264" s="17">
        <v>149</v>
      </c>
      <c r="F264" s="17" t="s">
        <v>12</v>
      </c>
      <c r="G264" s="17" t="s">
        <v>10</v>
      </c>
      <c r="H264" s="17">
        <v>96</v>
      </c>
    </row>
    <row r="265" spans="1:8">
      <c r="A265" s="17" t="s">
        <v>278</v>
      </c>
      <c r="B265" s="17">
        <v>274</v>
      </c>
      <c r="C265" s="17">
        <v>16</v>
      </c>
      <c r="D265" s="18">
        <v>46046.5930555556</v>
      </c>
      <c r="E265" s="17">
        <v>49</v>
      </c>
      <c r="F265" s="17" t="s">
        <v>9</v>
      </c>
      <c r="G265" s="17" t="s">
        <v>25</v>
      </c>
      <c r="H265" s="17">
        <v>39</v>
      </c>
    </row>
    <row r="266" spans="1:8">
      <c r="A266" s="17" t="s">
        <v>279</v>
      </c>
      <c r="B266" s="17">
        <v>100</v>
      </c>
      <c r="C266" s="17">
        <v>24</v>
      </c>
      <c r="D266" s="18">
        <v>46048.6645833333</v>
      </c>
      <c r="E266" s="17">
        <v>299</v>
      </c>
      <c r="F266" s="17" t="s">
        <v>12</v>
      </c>
      <c r="G266" s="17" t="s">
        <v>10</v>
      </c>
      <c r="H266" s="17">
        <v>86</v>
      </c>
    </row>
    <row r="267" spans="1:8">
      <c r="A267" s="17" t="s">
        <v>280</v>
      </c>
      <c r="B267" s="17">
        <v>145</v>
      </c>
      <c r="C267" s="17">
        <v>25</v>
      </c>
      <c r="D267" s="18">
        <v>46041.6034722222</v>
      </c>
      <c r="E267" s="17">
        <v>2999</v>
      </c>
      <c r="F267" s="17" t="s">
        <v>9</v>
      </c>
      <c r="G267" s="17" t="s">
        <v>10</v>
      </c>
      <c r="H267" s="17">
        <v>64</v>
      </c>
    </row>
    <row r="268" spans="1:8">
      <c r="A268" s="17" t="s">
        <v>281</v>
      </c>
      <c r="B268" s="17">
        <v>103</v>
      </c>
      <c r="C268" s="17">
        <v>39</v>
      </c>
      <c r="D268" s="18">
        <v>46039.5486111111</v>
      </c>
      <c r="E268" s="17">
        <v>2999</v>
      </c>
      <c r="F268" s="17" t="s">
        <v>9</v>
      </c>
      <c r="G268" s="17" t="s">
        <v>10</v>
      </c>
      <c r="H268" s="17">
        <v>17</v>
      </c>
    </row>
    <row r="269" spans="1:8">
      <c r="A269" s="17" t="s">
        <v>282</v>
      </c>
      <c r="B269" s="17">
        <v>329</v>
      </c>
      <c r="C269" s="17">
        <v>31</v>
      </c>
      <c r="D269" s="18">
        <v>46050.3354166667</v>
      </c>
      <c r="E269" s="17">
        <v>299</v>
      </c>
      <c r="F269" s="17" t="s">
        <v>9</v>
      </c>
      <c r="G269" s="17" t="s">
        <v>10</v>
      </c>
      <c r="H269" s="17">
        <v>47</v>
      </c>
    </row>
    <row r="270" spans="1:8">
      <c r="A270" s="17" t="s">
        <v>283</v>
      </c>
      <c r="B270" s="17">
        <v>265</v>
      </c>
      <c r="C270" s="17">
        <v>8</v>
      </c>
      <c r="D270" s="18">
        <v>46040.15625</v>
      </c>
      <c r="E270" s="17">
        <v>499</v>
      </c>
      <c r="F270" s="17" t="s">
        <v>15</v>
      </c>
      <c r="G270" s="17" t="s">
        <v>10</v>
      </c>
      <c r="H270" s="17">
        <v>36</v>
      </c>
    </row>
    <row r="271" spans="1:8">
      <c r="A271" s="17" t="s">
        <v>284</v>
      </c>
      <c r="B271" s="17">
        <v>231</v>
      </c>
      <c r="C271" s="17">
        <v>33</v>
      </c>
      <c r="D271" s="18">
        <v>46025.2201388889</v>
      </c>
      <c r="E271" s="17">
        <v>149</v>
      </c>
      <c r="F271" s="17" t="s">
        <v>12</v>
      </c>
      <c r="G271" s="17" t="s">
        <v>25</v>
      </c>
      <c r="H271" s="17">
        <v>18</v>
      </c>
    </row>
    <row r="272" spans="1:8">
      <c r="A272" s="17" t="s">
        <v>285</v>
      </c>
      <c r="B272" s="17">
        <v>114</v>
      </c>
      <c r="C272" s="17">
        <v>29</v>
      </c>
      <c r="D272" s="18">
        <v>46049.5451388889</v>
      </c>
      <c r="E272" s="17">
        <v>799</v>
      </c>
      <c r="F272" s="17" t="s">
        <v>12</v>
      </c>
      <c r="G272" s="17" t="s">
        <v>38</v>
      </c>
      <c r="H272" s="17">
        <v>44</v>
      </c>
    </row>
    <row r="273" spans="1:8">
      <c r="A273" s="17" t="s">
        <v>286</v>
      </c>
      <c r="B273" s="17">
        <v>28</v>
      </c>
      <c r="C273" s="17">
        <v>26</v>
      </c>
      <c r="D273" s="18">
        <v>46052.0180555556</v>
      </c>
      <c r="E273" s="17">
        <v>1499</v>
      </c>
      <c r="F273" s="17" t="s">
        <v>12</v>
      </c>
      <c r="G273" s="17" t="s">
        <v>25</v>
      </c>
      <c r="H273" s="17">
        <v>64</v>
      </c>
    </row>
    <row r="274" spans="1:8">
      <c r="A274" s="17" t="s">
        <v>287</v>
      </c>
      <c r="B274" s="17">
        <v>42</v>
      </c>
      <c r="C274" s="17">
        <v>24</v>
      </c>
      <c r="D274" s="18">
        <v>46034.3083333333</v>
      </c>
      <c r="E274" s="17">
        <v>149</v>
      </c>
      <c r="F274" s="17" t="s">
        <v>12</v>
      </c>
      <c r="G274" s="17" t="s">
        <v>10</v>
      </c>
      <c r="H274" s="17">
        <v>28</v>
      </c>
    </row>
    <row r="275" spans="1:8">
      <c r="A275" s="17" t="s">
        <v>288</v>
      </c>
      <c r="B275" s="17">
        <v>51</v>
      </c>
      <c r="C275" s="17">
        <v>22</v>
      </c>
      <c r="D275" s="18">
        <v>46023.4576388889</v>
      </c>
      <c r="E275" s="17">
        <v>799</v>
      </c>
      <c r="F275" s="17" t="s">
        <v>12</v>
      </c>
      <c r="G275" s="17" t="s">
        <v>10</v>
      </c>
      <c r="H275" s="17">
        <v>18</v>
      </c>
    </row>
    <row r="276" spans="1:8">
      <c r="A276" s="17" t="s">
        <v>289</v>
      </c>
      <c r="B276" s="17">
        <v>242</v>
      </c>
      <c r="C276" s="17">
        <v>9</v>
      </c>
      <c r="D276" s="18">
        <v>46027.0541666667</v>
      </c>
      <c r="E276" s="17">
        <v>149</v>
      </c>
      <c r="F276" s="17" t="s">
        <v>12</v>
      </c>
      <c r="G276" s="17" t="s">
        <v>10</v>
      </c>
      <c r="H276" s="17">
        <v>97</v>
      </c>
    </row>
    <row r="277" spans="1:8">
      <c r="A277" s="17" t="s">
        <v>290</v>
      </c>
      <c r="B277" s="17">
        <v>316</v>
      </c>
      <c r="C277" s="17">
        <v>1</v>
      </c>
      <c r="D277" s="18">
        <v>46045.6444444444</v>
      </c>
      <c r="E277" s="17">
        <v>149</v>
      </c>
      <c r="F277" s="17" t="s">
        <v>12</v>
      </c>
      <c r="G277" s="17" t="s">
        <v>10</v>
      </c>
      <c r="H277" s="17">
        <v>10</v>
      </c>
    </row>
    <row r="278" spans="1:8">
      <c r="A278" s="17" t="s">
        <v>291</v>
      </c>
      <c r="B278" s="17">
        <v>77</v>
      </c>
      <c r="C278" s="17">
        <v>36</v>
      </c>
      <c r="D278" s="18">
        <v>46023.3423611111</v>
      </c>
      <c r="E278" s="17">
        <v>149</v>
      </c>
      <c r="F278" s="17" t="s">
        <v>12</v>
      </c>
      <c r="G278" s="17" t="s">
        <v>10</v>
      </c>
      <c r="H278" s="17">
        <v>93</v>
      </c>
    </row>
    <row r="279" spans="1:8">
      <c r="A279" s="17" t="s">
        <v>292</v>
      </c>
      <c r="B279" s="17">
        <v>57</v>
      </c>
      <c r="C279" s="17">
        <v>19</v>
      </c>
      <c r="D279" s="18">
        <v>46042.6854166667</v>
      </c>
      <c r="E279" s="17">
        <v>49</v>
      </c>
      <c r="F279" s="17" t="s">
        <v>12</v>
      </c>
      <c r="G279" s="17" t="s">
        <v>10</v>
      </c>
      <c r="H279" s="17">
        <v>30</v>
      </c>
    </row>
    <row r="280" spans="1:8">
      <c r="A280" s="17" t="s">
        <v>293</v>
      </c>
      <c r="B280" s="17">
        <v>123</v>
      </c>
      <c r="C280" s="17">
        <v>27</v>
      </c>
      <c r="D280" s="18">
        <v>46032.1270833333</v>
      </c>
      <c r="E280" s="17">
        <v>149</v>
      </c>
      <c r="F280" s="17" t="s">
        <v>15</v>
      </c>
      <c r="G280" s="17" t="s">
        <v>10</v>
      </c>
      <c r="H280" s="17">
        <v>81</v>
      </c>
    </row>
    <row r="281" spans="1:8">
      <c r="A281" s="17" t="s">
        <v>294</v>
      </c>
      <c r="B281" s="17">
        <v>33</v>
      </c>
      <c r="C281" s="17">
        <v>8</v>
      </c>
      <c r="D281" s="18">
        <v>46048.8118055556</v>
      </c>
      <c r="E281" s="17">
        <v>299</v>
      </c>
      <c r="F281" s="17" t="s">
        <v>9</v>
      </c>
      <c r="G281" s="17" t="s">
        <v>10</v>
      </c>
      <c r="H281" s="17">
        <v>63</v>
      </c>
    </row>
    <row r="282" spans="1:8">
      <c r="A282" s="17" t="s">
        <v>295</v>
      </c>
      <c r="B282" s="17">
        <v>324</v>
      </c>
      <c r="C282" s="17">
        <v>33</v>
      </c>
      <c r="D282" s="18">
        <v>46042.7090277778</v>
      </c>
      <c r="E282" s="17">
        <v>499</v>
      </c>
      <c r="F282" s="17" t="s">
        <v>12</v>
      </c>
      <c r="G282" s="17" t="s">
        <v>10</v>
      </c>
      <c r="H282" s="17">
        <v>73</v>
      </c>
    </row>
    <row r="283" spans="1:8">
      <c r="A283" s="17" t="s">
        <v>296</v>
      </c>
      <c r="B283" s="17">
        <v>150</v>
      </c>
      <c r="C283" s="17">
        <v>28</v>
      </c>
      <c r="D283" s="18">
        <v>46030.9229166667</v>
      </c>
      <c r="E283" s="17">
        <v>49</v>
      </c>
      <c r="F283" s="17" t="s">
        <v>12</v>
      </c>
      <c r="G283" s="17" t="s">
        <v>25</v>
      </c>
      <c r="H283" s="17">
        <v>0</v>
      </c>
    </row>
    <row r="284" spans="1:8">
      <c r="A284" s="17" t="s">
        <v>297</v>
      </c>
      <c r="B284" s="17">
        <v>293</v>
      </c>
      <c r="C284" s="17">
        <v>27</v>
      </c>
      <c r="D284" s="18">
        <v>46042.46875</v>
      </c>
      <c r="E284" s="17">
        <v>4999</v>
      </c>
      <c r="F284" s="17" t="s">
        <v>12</v>
      </c>
      <c r="G284" s="17" t="s">
        <v>10</v>
      </c>
      <c r="H284" s="17">
        <v>23</v>
      </c>
    </row>
    <row r="285" spans="1:8">
      <c r="A285" s="17" t="s">
        <v>298</v>
      </c>
      <c r="B285" s="17">
        <v>269</v>
      </c>
      <c r="C285" s="17">
        <v>24</v>
      </c>
      <c r="D285" s="18">
        <v>46044.8784722222</v>
      </c>
      <c r="E285" s="17">
        <v>49</v>
      </c>
      <c r="F285" s="17" t="s">
        <v>9</v>
      </c>
      <c r="G285" s="17" t="s">
        <v>10</v>
      </c>
      <c r="H285" s="17">
        <v>8</v>
      </c>
    </row>
    <row r="286" spans="1:8">
      <c r="A286" s="17" t="s">
        <v>299</v>
      </c>
      <c r="B286" s="17">
        <v>260</v>
      </c>
      <c r="C286" s="17">
        <v>36</v>
      </c>
      <c r="D286" s="18">
        <v>46039.7305555556</v>
      </c>
      <c r="E286" s="17">
        <v>1499</v>
      </c>
      <c r="F286" s="17" t="s">
        <v>12</v>
      </c>
      <c r="G286" s="17" t="s">
        <v>10</v>
      </c>
      <c r="H286" s="17">
        <v>2</v>
      </c>
    </row>
    <row r="287" spans="1:8">
      <c r="A287" s="17" t="s">
        <v>300</v>
      </c>
      <c r="B287" s="17">
        <v>326</v>
      </c>
      <c r="C287" s="17">
        <v>25</v>
      </c>
      <c r="D287" s="18">
        <v>46035.6263888889</v>
      </c>
      <c r="E287" s="17">
        <v>49</v>
      </c>
      <c r="F287" s="17" t="s">
        <v>12</v>
      </c>
      <c r="G287" s="17" t="s">
        <v>10</v>
      </c>
      <c r="H287" s="17">
        <v>47</v>
      </c>
    </row>
    <row r="288" spans="1:8">
      <c r="A288" s="17" t="s">
        <v>301</v>
      </c>
      <c r="B288" s="17">
        <v>183</v>
      </c>
      <c r="C288" s="17">
        <v>5</v>
      </c>
      <c r="D288" s="18">
        <v>46031.9590277778</v>
      </c>
      <c r="E288" s="17">
        <v>49</v>
      </c>
      <c r="F288" s="17" t="s">
        <v>24</v>
      </c>
      <c r="G288" s="17" t="s">
        <v>10</v>
      </c>
      <c r="H288" s="17">
        <v>44</v>
      </c>
    </row>
    <row r="289" spans="1:8">
      <c r="A289" s="17" t="s">
        <v>302</v>
      </c>
      <c r="B289" s="17">
        <v>322</v>
      </c>
      <c r="C289" s="17">
        <v>7</v>
      </c>
      <c r="D289" s="18">
        <v>46030.9875</v>
      </c>
      <c r="E289" s="17">
        <v>299</v>
      </c>
      <c r="F289" s="17" t="s">
        <v>12</v>
      </c>
      <c r="G289" s="17" t="s">
        <v>10</v>
      </c>
      <c r="H289" s="17">
        <v>98</v>
      </c>
    </row>
    <row r="290" spans="1:8">
      <c r="A290" s="17" t="s">
        <v>303</v>
      </c>
      <c r="B290" s="17">
        <v>171</v>
      </c>
      <c r="C290" s="17">
        <v>9</v>
      </c>
      <c r="D290" s="18">
        <v>46041.9916666667</v>
      </c>
      <c r="E290" s="17">
        <v>299</v>
      </c>
      <c r="F290" s="17" t="s">
        <v>12</v>
      </c>
      <c r="G290" s="17" t="s">
        <v>10</v>
      </c>
      <c r="H290" s="17">
        <v>5</v>
      </c>
    </row>
    <row r="291" spans="1:8">
      <c r="A291" s="17" t="s">
        <v>304</v>
      </c>
      <c r="B291" s="17">
        <v>330</v>
      </c>
      <c r="C291" s="17">
        <v>12</v>
      </c>
      <c r="D291" s="18">
        <v>46034.7229166667</v>
      </c>
      <c r="E291" s="17">
        <v>1499</v>
      </c>
      <c r="F291" s="17" t="s">
        <v>15</v>
      </c>
      <c r="G291" s="17" t="s">
        <v>10</v>
      </c>
      <c r="H291" s="17">
        <v>99</v>
      </c>
    </row>
    <row r="292" spans="1:8">
      <c r="A292" s="17" t="s">
        <v>305</v>
      </c>
      <c r="B292" s="17">
        <v>246</v>
      </c>
      <c r="C292" s="17">
        <v>12</v>
      </c>
      <c r="D292" s="18">
        <v>46044.6138888889</v>
      </c>
      <c r="E292" s="17">
        <v>99</v>
      </c>
      <c r="F292" s="17" t="s">
        <v>9</v>
      </c>
      <c r="G292" s="17" t="s">
        <v>10</v>
      </c>
      <c r="H292" s="17">
        <v>17</v>
      </c>
    </row>
    <row r="293" spans="1:8">
      <c r="A293" s="17" t="s">
        <v>306</v>
      </c>
      <c r="B293" s="17">
        <v>235</v>
      </c>
      <c r="C293" s="17">
        <v>3</v>
      </c>
      <c r="D293" s="18">
        <v>46025.9506944444</v>
      </c>
      <c r="E293" s="17">
        <v>49</v>
      </c>
      <c r="F293" s="17" t="s">
        <v>12</v>
      </c>
      <c r="G293" s="17" t="s">
        <v>10</v>
      </c>
      <c r="H293" s="17">
        <v>37</v>
      </c>
    </row>
    <row r="294" spans="1:8">
      <c r="A294" s="17" t="s">
        <v>307</v>
      </c>
      <c r="B294" s="17">
        <v>103</v>
      </c>
      <c r="C294" s="17">
        <v>3</v>
      </c>
      <c r="D294" s="18">
        <v>46029.0763888889</v>
      </c>
      <c r="E294" s="17">
        <v>499</v>
      </c>
      <c r="F294" s="17" t="s">
        <v>12</v>
      </c>
      <c r="G294" s="17" t="s">
        <v>10</v>
      </c>
      <c r="H294" s="17">
        <v>40</v>
      </c>
    </row>
    <row r="295" spans="1:8">
      <c r="A295" s="17" t="s">
        <v>308</v>
      </c>
      <c r="B295" s="17">
        <v>204</v>
      </c>
      <c r="C295" s="17">
        <v>35</v>
      </c>
      <c r="D295" s="18">
        <v>46052.3972222222</v>
      </c>
      <c r="E295" s="17">
        <v>99</v>
      </c>
      <c r="F295" s="17" t="s">
        <v>9</v>
      </c>
      <c r="G295" s="17" t="s">
        <v>10</v>
      </c>
      <c r="H295" s="17">
        <v>60</v>
      </c>
    </row>
    <row r="296" spans="1:8">
      <c r="A296" s="17" t="s">
        <v>309</v>
      </c>
      <c r="B296" s="17">
        <v>332</v>
      </c>
      <c r="C296" s="17">
        <v>13</v>
      </c>
      <c r="D296" s="18">
        <v>46031.075</v>
      </c>
      <c r="E296" s="17">
        <v>49</v>
      </c>
      <c r="F296" s="17" t="s">
        <v>24</v>
      </c>
      <c r="G296" s="17" t="s">
        <v>10</v>
      </c>
      <c r="H296" s="17">
        <v>36</v>
      </c>
    </row>
    <row r="297" spans="1:8">
      <c r="A297" s="17" t="s">
        <v>310</v>
      </c>
      <c r="B297" s="17">
        <v>336</v>
      </c>
      <c r="C297" s="17">
        <v>22</v>
      </c>
      <c r="D297" s="18">
        <v>46034.0798611111</v>
      </c>
      <c r="E297" s="17">
        <v>499</v>
      </c>
      <c r="F297" s="17" t="s">
        <v>12</v>
      </c>
      <c r="G297" s="17" t="s">
        <v>10</v>
      </c>
      <c r="H297" s="17">
        <v>34</v>
      </c>
    </row>
    <row r="298" spans="1:8">
      <c r="A298" s="17" t="s">
        <v>311</v>
      </c>
      <c r="B298" s="17">
        <v>205</v>
      </c>
      <c r="C298" s="17">
        <v>29</v>
      </c>
      <c r="D298" s="18">
        <v>46026.4770833333</v>
      </c>
      <c r="E298" s="17">
        <v>99</v>
      </c>
      <c r="F298" s="17" t="s">
        <v>9</v>
      </c>
      <c r="G298" s="17" t="s">
        <v>10</v>
      </c>
      <c r="H298" s="17">
        <v>49</v>
      </c>
    </row>
    <row r="299" spans="1:8">
      <c r="A299" s="17" t="s">
        <v>312</v>
      </c>
      <c r="B299" s="17">
        <v>255</v>
      </c>
      <c r="C299" s="17">
        <v>24</v>
      </c>
      <c r="D299" s="18">
        <v>46033.2298611111</v>
      </c>
      <c r="E299" s="17">
        <v>799</v>
      </c>
      <c r="F299" s="17" t="s">
        <v>12</v>
      </c>
      <c r="G299" s="17" t="s">
        <v>10</v>
      </c>
      <c r="H299" s="17">
        <v>66</v>
      </c>
    </row>
    <row r="300" spans="1:8">
      <c r="A300" s="17" t="s">
        <v>313</v>
      </c>
      <c r="B300" s="17">
        <v>218</v>
      </c>
      <c r="C300" s="17">
        <v>6</v>
      </c>
      <c r="D300" s="18">
        <v>46031.1152777778</v>
      </c>
      <c r="E300" s="17">
        <v>99</v>
      </c>
      <c r="F300" s="17" t="s">
        <v>12</v>
      </c>
      <c r="G300" s="17" t="s">
        <v>10</v>
      </c>
      <c r="H300" s="17">
        <v>55</v>
      </c>
    </row>
    <row r="301" spans="1:8">
      <c r="A301" s="17" t="s">
        <v>314</v>
      </c>
      <c r="B301" s="17">
        <v>151</v>
      </c>
      <c r="C301" s="17">
        <v>21</v>
      </c>
      <c r="D301" s="18">
        <v>46042.2319444444</v>
      </c>
      <c r="E301" s="17">
        <v>49</v>
      </c>
      <c r="F301" s="17" t="s">
        <v>12</v>
      </c>
      <c r="G301" s="17" t="s">
        <v>10</v>
      </c>
      <c r="H301" s="17">
        <v>13</v>
      </c>
    </row>
    <row r="302" spans="1:8">
      <c r="A302" s="17" t="s">
        <v>315</v>
      </c>
      <c r="B302" s="17">
        <v>152</v>
      </c>
      <c r="C302" s="17">
        <v>20</v>
      </c>
      <c r="D302" s="18">
        <v>46025.4458333333</v>
      </c>
      <c r="E302" s="17">
        <v>49</v>
      </c>
      <c r="F302" s="17" t="s">
        <v>12</v>
      </c>
      <c r="G302" s="17" t="s">
        <v>10</v>
      </c>
      <c r="H302" s="17">
        <v>57</v>
      </c>
    </row>
    <row r="303" spans="1:8">
      <c r="A303" s="17" t="s">
        <v>316</v>
      </c>
      <c r="B303" s="17">
        <v>86</v>
      </c>
      <c r="C303" s="17">
        <v>29</v>
      </c>
      <c r="D303" s="18">
        <v>46042.9354166667</v>
      </c>
      <c r="E303" s="17">
        <v>149</v>
      </c>
      <c r="F303" s="17" t="s">
        <v>24</v>
      </c>
      <c r="G303" s="17" t="s">
        <v>10</v>
      </c>
      <c r="H303" s="17">
        <v>44</v>
      </c>
    </row>
    <row r="304" spans="1:8">
      <c r="A304" s="17" t="s">
        <v>317</v>
      </c>
      <c r="B304" s="17">
        <v>181</v>
      </c>
      <c r="C304" s="17">
        <v>40</v>
      </c>
      <c r="D304" s="18">
        <v>46037.0736111111</v>
      </c>
      <c r="E304" s="17">
        <v>149</v>
      </c>
      <c r="F304" s="17" t="s">
        <v>12</v>
      </c>
      <c r="G304" s="17" t="s">
        <v>10</v>
      </c>
      <c r="H304" s="17">
        <v>55</v>
      </c>
    </row>
    <row r="305" spans="1:8">
      <c r="A305" s="17" t="s">
        <v>318</v>
      </c>
      <c r="B305" s="17">
        <v>30</v>
      </c>
      <c r="C305" s="17">
        <v>5</v>
      </c>
      <c r="D305" s="18">
        <v>46031.8680555556</v>
      </c>
      <c r="E305" s="17">
        <v>299</v>
      </c>
      <c r="F305" s="17" t="s">
        <v>12</v>
      </c>
      <c r="G305" s="17" t="s">
        <v>10</v>
      </c>
      <c r="H305" s="17">
        <v>85</v>
      </c>
    </row>
    <row r="306" spans="1:8">
      <c r="A306" s="17" t="s">
        <v>319</v>
      </c>
      <c r="B306" s="17">
        <v>263</v>
      </c>
      <c r="C306" s="17">
        <v>11</v>
      </c>
      <c r="D306" s="18">
        <v>46043.5159722222</v>
      </c>
      <c r="E306" s="17">
        <v>149</v>
      </c>
      <c r="F306" s="17" t="s">
        <v>9</v>
      </c>
      <c r="G306" s="17" t="s">
        <v>10</v>
      </c>
      <c r="H306" s="17">
        <v>3</v>
      </c>
    </row>
    <row r="307" spans="1:8">
      <c r="A307" s="17" t="s">
        <v>320</v>
      </c>
      <c r="B307" s="17">
        <v>225</v>
      </c>
      <c r="C307" s="17">
        <v>3</v>
      </c>
      <c r="D307" s="18">
        <v>46027.8215277778</v>
      </c>
      <c r="E307" s="17">
        <v>99</v>
      </c>
      <c r="F307" s="17" t="s">
        <v>15</v>
      </c>
      <c r="G307" s="17" t="s">
        <v>10</v>
      </c>
      <c r="H307" s="17">
        <v>16</v>
      </c>
    </row>
    <row r="308" spans="1:8">
      <c r="A308" s="17" t="s">
        <v>321</v>
      </c>
      <c r="B308" s="17">
        <v>331</v>
      </c>
      <c r="C308" s="17">
        <v>24</v>
      </c>
      <c r="D308" s="18">
        <v>46025.3256944444</v>
      </c>
      <c r="E308" s="17">
        <v>49</v>
      </c>
      <c r="F308" s="17" t="s">
        <v>24</v>
      </c>
      <c r="G308" s="17" t="s">
        <v>10</v>
      </c>
      <c r="H308" s="17">
        <v>46</v>
      </c>
    </row>
    <row r="309" spans="1:8">
      <c r="A309" s="17" t="s">
        <v>322</v>
      </c>
      <c r="B309" s="17">
        <v>310</v>
      </c>
      <c r="C309" s="17">
        <v>10</v>
      </c>
      <c r="D309" s="18">
        <v>46035.7513888889</v>
      </c>
      <c r="E309" s="17">
        <v>1499</v>
      </c>
      <c r="F309" s="17" t="s">
        <v>24</v>
      </c>
      <c r="G309" s="17" t="s">
        <v>10</v>
      </c>
      <c r="H309" s="17">
        <v>86</v>
      </c>
    </row>
    <row r="310" spans="1:8">
      <c r="A310" s="17" t="s">
        <v>323</v>
      </c>
      <c r="B310" s="17">
        <v>228</v>
      </c>
      <c r="C310" s="17">
        <v>5</v>
      </c>
      <c r="D310" s="18">
        <v>46037.4743055556</v>
      </c>
      <c r="E310" s="17">
        <v>49</v>
      </c>
      <c r="F310" s="17" t="s">
        <v>12</v>
      </c>
      <c r="G310" s="17" t="s">
        <v>10</v>
      </c>
      <c r="H310" s="17">
        <v>73</v>
      </c>
    </row>
    <row r="311" spans="1:8">
      <c r="A311" s="17" t="s">
        <v>324</v>
      </c>
      <c r="B311" s="17">
        <v>204</v>
      </c>
      <c r="C311" s="17">
        <v>21</v>
      </c>
      <c r="D311" s="18">
        <v>46027.6826388889</v>
      </c>
      <c r="E311" s="17">
        <v>499</v>
      </c>
      <c r="F311" s="17" t="s">
        <v>12</v>
      </c>
      <c r="G311" s="17" t="s">
        <v>10</v>
      </c>
      <c r="H311" s="17">
        <v>83</v>
      </c>
    </row>
    <row r="312" spans="1:8">
      <c r="A312" s="17" t="s">
        <v>325</v>
      </c>
      <c r="B312" s="17">
        <v>14</v>
      </c>
      <c r="C312" s="17">
        <v>12</v>
      </c>
      <c r="D312" s="18">
        <v>46031.2965277778</v>
      </c>
      <c r="E312" s="17">
        <v>799</v>
      </c>
      <c r="F312" s="17" t="s">
        <v>15</v>
      </c>
      <c r="G312" s="17" t="s">
        <v>10</v>
      </c>
      <c r="H312" s="17">
        <v>63</v>
      </c>
    </row>
    <row r="313" spans="1:8">
      <c r="A313" s="17" t="s">
        <v>326</v>
      </c>
      <c r="B313" s="17">
        <v>288</v>
      </c>
      <c r="C313" s="17">
        <v>8</v>
      </c>
      <c r="D313" s="18">
        <v>46039.5402777778</v>
      </c>
      <c r="E313" s="17">
        <v>49</v>
      </c>
      <c r="F313" s="17" t="s">
        <v>12</v>
      </c>
      <c r="G313" s="17" t="s">
        <v>10</v>
      </c>
      <c r="H313" s="17">
        <v>33</v>
      </c>
    </row>
    <row r="314" spans="1:8">
      <c r="A314" s="17" t="s">
        <v>327</v>
      </c>
      <c r="B314" s="17">
        <v>229</v>
      </c>
      <c r="C314" s="17">
        <v>14</v>
      </c>
      <c r="D314" s="18">
        <v>46047.3645833333</v>
      </c>
      <c r="E314" s="17">
        <v>1499</v>
      </c>
      <c r="F314" s="17" t="s">
        <v>12</v>
      </c>
      <c r="G314" s="17" t="s">
        <v>10</v>
      </c>
      <c r="H314" s="17">
        <v>78</v>
      </c>
    </row>
    <row r="315" spans="1:8">
      <c r="A315" s="17" t="s">
        <v>328</v>
      </c>
      <c r="B315" s="17">
        <v>252</v>
      </c>
      <c r="C315" s="17">
        <v>13</v>
      </c>
      <c r="D315" s="18">
        <v>46032.9569444444</v>
      </c>
      <c r="E315" s="17">
        <v>99</v>
      </c>
      <c r="F315" s="17" t="s">
        <v>9</v>
      </c>
      <c r="G315" s="17" t="s">
        <v>10</v>
      </c>
      <c r="H315" s="17">
        <v>15</v>
      </c>
    </row>
    <row r="316" spans="1:8">
      <c r="A316" s="17" t="s">
        <v>329</v>
      </c>
      <c r="B316" s="17">
        <v>89</v>
      </c>
      <c r="C316" s="17">
        <v>29</v>
      </c>
      <c r="D316" s="18">
        <v>46027.1027777778</v>
      </c>
      <c r="E316" s="17">
        <v>799</v>
      </c>
      <c r="F316" s="17" t="s">
        <v>12</v>
      </c>
      <c r="G316" s="17" t="s">
        <v>10</v>
      </c>
      <c r="H316" s="17">
        <v>11</v>
      </c>
    </row>
    <row r="317" spans="1:8">
      <c r="A317" s="17" t="s">
        <v>330</v>
      </c>
      <c r="B317" s="17">
        <v>164</v>
      </c>
      <c r="C317" s="17">
        <v>23</v>
      </c>
      <c r="D317" s="18">
        <v>46048.9125</v>
      </c>
      <c r="E317" s="17">
        <v>49</v>
      </c>
      <c r="F317" s="17" t="s">
        <v>15</v>
      </c>
      <c r="G317" s="17" t="s">
        <v>10</v>
      </c>
      <c r="H317" s="17">
        <v>90</v>
      </c>
    </row>
    <row r="318" spans="1:8">
      <c r="A318" s="17" t="s">
        <v>331</v>
      </c>
      <c r="B318" s="17">
        <v>149</v>
      </c>
      <c r="C318" s="17">
        <v>20</v>
      </c>
      <c r="D318" s="18">
        <v>46025.7319444444</v>
      </c>
      <c r="E318" s="17">
        <v>299</v>
      </c>
      <c r="F318" s="17" t="s">
        <v>9</v>
      </c>
      <c r="G318" s="17" t="s">
        <v>10</v>
      </c>
      <c r="H318" s="17">
        <v>20</v>
      </c>
    </row>
    <row r="319" spans="1:8">
      <c r="A319" s="17" t="s">
        <v>332</v>
      </c>
      <c r="B319" s="17">
        <v>327</v>
      </c>
      <c r="C319" s="17">
        <v>12</v>
      </c>
      <c r="D319" s="18">
        <v>46045.9576388889</v>
      </c>
      <c r="E319" s="17">
        <v>49</v>
      </c>
      <c r="F319" s="17" t="s">
        <v>15</v>
      </c>
      <c r="G319" s="17" t="s">
        <v>10</v>
      </c>
      <c r="H319" s="17">
        <v>46</v>
      </c>
    </row>
    <row r="320" spans="1:8">
      <c r="A320" s="17" t="s">
        <v>333</v>
      </c>
      <c r="B320" s="17">
        <v>103</v>
      </c>
      <c r="C320" s="17">
        <v>9</v>
      </c>
      <c r="D320" s="18">
        <v>46039.2965277778</v>
      </c>
      <c r="E320" s="17">
        <v>149</v>
      </c>
      <c r="F320" s="17" t="s">
        <v>12</v>
      </c>
      <c r="G320" s="17" t="s">
        <v>10</v>
      </c>
      <c r="H320" s="17">
        <v>30</v>
      </c>
    </row>
    <row r="321" spans="1:8">
      <c r="A321" s="17" t="s">
        <v>334</v>
      </c>
      <c r="B321" s="17">
        <v>185</v>
      </c>
      <c r="C321" s="17">
        <v>36</v>
      </c>
      <c r="D321" s="18">
        <v>46048.6256944444</v>
      </c>
      <c r="E321" s="17">
        <v>49</v>
      </c>
      <c r="F321" s="17" t="s">
        <v>9</v>
      </c>
      <c r="G321" s="17" t="s">
        <v>10</v>
      </c>
      <c r="H321" s="17">
        <v>73</v>
      </c>
    </row>
    <row r="322" spans="1:8">
      <c r="A322" s="17" t="s">
        <v>335</v>
      </c>
      <c r="B322" s="17">
        <v>283</v>
      </c>
      <c r="C322" s="17">
        <v>9</v>
      </c>
      <c r="D322" s="18">
        <v>46034.61875</v>
      </c>
      <c r="E322" s="17">
        <v>299</v>
      </c>
      <c r="F322" s="17" t="s">
        <v>12</v>
      </c>
      <c r="G322" s="17" t="s">
        <v>10</v>
      </c>
      <c r="H322" s="17">
        <v>78</v>
      </c>
    </row>
    <row r="323" spans="1:8">
      <c r="A323" s="17" t="s">
        <v>336</v>
      </c>
      <c r="B323" s="17">
        <v>159</v>
      </c>
      <c r="C323" s="17">
        <v>26</v>
      </c>
      <c r="D323" s="18">
        <v>46051.0861111111</v>
      </c>
      <c r="E323" s="17">
        <v>99</v>
      </c>
      <c r="F323" s="17" t="s">
        <v>12</v>
      </c>
      <c r="G323" s="17" t="s">
        <v>10</v>
      </c>
      <c r="H323" s="17">
        <v>91</v>
      </c>
    </row>
    <row r="324" spans="1:8">
      <c r="A324" s="17" t="s">
        <v>337</v>
      </c>
      <c r="B324" s="17">
        <v>211</v>
      </c>
      <c r="C324" s="17">
        <v>27</v>
      </c>
      <c r="D324" s="18">
        <v>46046.6479166667</v>
      </c>
      <c r="E324" s="17">
        <v>99</v>
      </c>
      <c r="F324" s="17" t="s">
        <v>9</v>
      </c>
      <c r="G324" s="17" t="s">
        <v>10</v>
      </c>
      <c r="H324" s="17">
        <v>73</v>
      </c>
    </row>
    <row r="325" spans="1:8">
      <c r="A325" s="17" t="s">
        <v>338</v>
      </c>
      <c r="B325" s="17">
        <v>329</v>
      </c>
      <c r="C325" s="17">
        <v>5</v>
      </c>
      <c r="D325" s="18">
        <v>46025.1805555556</v>
      </c>
      <c r="E325" s="17">
        <v>499</v>
      </c>
      <c r="F325" s="17" t="s">
        <v>15</v>
      </c>
      <c r="G325" s="17" t="s">
        <v>10</v>
      </c>
      <c r="H325" s="17">
        <v>57</v>
      </c>
    </row>
    <row r="326" spans="1:8">
      <c r="A326" s="17" t="s">
        <v>339</v>
      </c>
      <c r="B326" s="17">
        <v>177</v>
      </c>
      <c r="C326" s="17">
        <v>9</v>
      </c>
      <c r="D326" s="18">
        <v>46037.8979166667</v>
      </c>
      <c r="E326" s="17">
        <v>99</v>
      </c>
      <c r="F326" s="17" t="s">
        <v>12</v>
      </c>
      <c r="G326" s="17" t="s">
        <v>10</v>
      </c>
      <c r="H326" s="17">
        <v>99</v>
      </c>
    </row>
    <row r="327" spans="1:8">
      <c r="A327" s="17" t="s">
        <v>340</v>
      </c>
      <c r="B327" s="17">
        <v>94</v>
      </c>
      <c r="C327" s="17">
        <v>9</v>
      </c>
      <c r="D327" s="18">
        <v>46040.8590277778</v>
      </c>
      <c r="E327" s="17">
        <v>299</v>
      </c>
      <c r="F327" s="17" t="s">
        <v>12</v>
      </c>
      <c r="G327" s="17" t="s">
        <v>10</v>
      </c>
      <c r="H327" s="17">
        <v>55</v>
      </c>
    </row>
    <row r="328" spans="1:8">
      <c r="A328" s="17" t="s">
        <v>341</v>
      </c>
      <c r="B328" s="17">
        <v>64</v>
      </c>
      <c r="C328" s="17">
        <v>34</v>
      </c>
      <c r="D328" s="18">
        <v>46039.0784722222</v>
      </c>
      <c r="E328" s="17">
        <v>299</v>
      </c>
      <c r="F328" s="17" t="s">
        <v>12</v>
      </c>
      <c r="G328" s="17" t="s">
        <v>10</v>
      </c>
      <c r="H328" s="17">
        <v>19</v>
      </c>
    </row>
    <row r="329" spans="1:8">
      <c r="A329" s="17" t="s">
        <v>342</v>
      </c>
      <c r="B329" s="17">
        <v>166</v>
      </c>
      <c r="C329" s="17">
        <v>15</v>
      </c>
      <c r="D329" s="18">
        <v>46032.2152777778</v>
      </c>
      <c r="E329" s="17">
        <v>49</v>
      </c>
      <c r="F329" s="17" t="s">
        <v>12</v>
      </c>
      <c r="G329" s="17" t="s">
        <v>10</v>
      </c>
      <c r="H329" s="17">
        <v>44</v>
      </c>
    </row>
    <row r="330" spans="1:8">
      <c r="A330" s="17" t="s">
        <v>343</v>
      </c>
      <c r="B330" s="17">
        <v>41</v>
      </c>
      <c r="C330" s="17">
        <v>17</v>
      </c>
      <c r="D330" s="18">
        <v>46039.4125</v>
      </c>
      <c r="E330" s="17">
        <v>299</v>
      </c>
      <c r="F330" s="17" t="s">
        <v>9</v>
      </c>
      <c r="G330" s="17" t="s">
        <v>10</v>
      </c>
      <c r="H330" s="17">
        <v>25</v>
      </c>
    </row>
    <row r="331" spans="1:8">
      <c r="A331" s="17" t="s">
        <v>344</v>
      </c>
      <c r="B331" s="17">
        <v>65</v>
      </c>
      <c r="C331" s="17">
        <v>20</v>
      </c>
      <c r="D331" s="18">
        <v>46043.7201388889</v>
      </c>
      <c r="E331" s="17">
        <v>99</v>
      </c>
      <c r="F331" s="17" t="s">
        <v>24</v>
      </c>
      <c r="G331" s="17" t="s">
        <v>10</v>
      </c>
      <c r="H331" s="17">
        <v>78</v>
      </c>
    </row>
    <row r="332" spans="1:8">
      <c r="A332" s="17" t="s">
        <v>345</v>
      </c>
      <c r="B332" s="17">
        <v>329</v>
      </c>
      <c r="C332" s="17">
        <v>11</v>
      </c>
      <c r="D332" s="18">
        <v>46040.1055555556</v>
      </c>
      <c r="E332" s="17">
        <v>499</v>
      </c>
      <c r="F332" s="17" t="s">
        <v>12</v>
      </c>
      <c r="G332" s="17" t="s">
        <v>10</v>
      </c>
      <c r="H332" s="17">
        <v>75</v>
      </c>
    </row>
    <row r="333" spans="1:8">
      <c r="A333" s="17" t="s">
        <v>346</v>
      </c>
      <c r="B333" s="17">
        <v>338</v>
      </c>
      <c r="C333" s="17">
        <v>40</v>
      </c>
      <c r="D333" s="18">
        <v>46041.1736111111</v>
      </c>
      <c r="E333" s="17">
        <v>149</v>
      </c>
      <c r="F333" s="17" t="s">
        <v>12</v>
      </c>
      <c r="G333" s="17" t="s">
        <v>10</v>
      </c>
      <c r="H333" s="17">
        <v>92</v>
      </c>
    </row>
    <row r="334" spans="1:8">
      <c r="A334" s="17" t="s">
        <v>347</v>
      </c>
      <c r="B334" s="17">
        <v>289</v>
      </c>
      <c r="C334" s="17">
        <v>3</v>
      </c>
      <c r="D334" s="18">
        <v>46051.80625</v>
      </c>
      <c r="E334" s="17">
        <v>49</v>
      </c>
      <c r="F334" s="17" t="s">
        <v>15</v>
      </c>
      <c r="G334" s="17" t="s">
        <v>10</v>
      </c>
      <c r="H334" s="17">
        <v>3</v>
      </c>
    </row>
    <row r="335" spans="1:8">
      <c r="A335" s="17" t="s">
        <v>348</v>
      </c>
      <c r="B335" s="17">
        <v>296</v>
      </c>
      <c r="C335" s="17">
        <v>17</v>
      </c>
      <c r="D335" s="18">
        <v>46025.0701388889</v>
      </c>
      <c r="E335" s="17">
        <v>99</v>
      </c>
      <c r="F335" s="17" t="s">
        <v>12</v>
      </c>
      <c r="G335" s="17" t="s">
        <v>10</v>
      </c>
      <c r="H335" s="17">
        <v>83</v>
      </c>
    </row>
    <row r="336" spans="1:8">
      <c r="A336" s="17" t="s">
        <v>349</v>
      </c>
      <c r="B336" s="17">
        <v>317</v>
      </c>
      <c r="C336" s="17">
        <v>2</v>
      </c>
      <c r="D336" s="18">
        <v>46029.7680555556</v>
      </c>
      <c r="E336" s="17">
        <v>499</v>
      </c>
      <c r="F336" s="17" t="s">
        <v>24</v>
      </c>
      <c r="G336" s="17" t="s">
        <v>10</v>
      </c>
      <c r="H336" s="17">
        <v>63</v>
      </c>
    </row>
    <row r="337" spans="1:8">
      <c r="A337" s="17" t="s">
        <v>350</v>
      </c>
      <c r="B337" s="17">
        <v>149</v>
      </c>
      <c r="C337" s="17">
        <v>20</v>
      </c>
      <c r="D337" s="18">
        <v>46051.8569444444</v>
      </c>
      <c r="E337" s="17">
        <v>499</v>
      </c>
      <c r="F337" s="17" t="s">
        <v>24</v>
      </c>
      <c r="G337" s="17" t="s">
        <v>10</v>
      </c>
      <c r="H337" s="17">
        <v>61</v>
      </c>
    </row>
    <row r="338" spans="1:8">
      <c r="A338" s="17" t="s">
        <v>351</v>
      </c>
      <c r="B338" s="17">
        <v>153</v>
      </c>
      <c r="C338" s="17">
        <v>30</v>
      </c>
      <c r="D338" s="18">
        <v>46030.8923611111</v>
      </c>
      <c r="E338" s="17">
        <v>299</v>
      </c>
      <c r="F338" s="17" t="s">
        <v>12</v>
      </c>
      <c r="G338" s="17" t="s">
        <v>10</v>
      </c>
      <c r="H338" s="17">
        <v>9</v>
      </c>
    </row>
    <row r="339" spans="1:8">
      <c r="A339" s="17" t="s">
        <v>352</v>
      </c>
      <c r="B339" s="17">
        <v>226</v>
      </c>
      <c r="C339" s="17">
        <v>27</v>
      </c>
      <c r="D339" s="18">
        <v>46045.0486111111</v>
      </c>
      <c r="E339" s="17">
        <v>2999</v>
      </c>
      <c r="F339" s="17" t="s">
        <v>12</v>
      </c>
      <c r="G339" s="17" t="s">
        <v>38</v>
      </c>
      <c r="H339" s="17">
        <v>61</v>
      </c>
    </row>
    <row r="340" spans="1:8">
      <c r="A340" s="17" t="s">
        <v>353</v>
      </c>
      <c r="B340" s="17">
        <v>311</v>
      </c>
      <c r="C340" s="17">
        <v>10</v>
      </c>
      <c r="D340" s="18">
        <v>46037.2645833333</v>
      </c>
      <c r="E340" s="17">
        <v>2999</v>
      </c>
      <c r="F340" s="17" t="s">
        <v>12</v>
      </c>
      <c r="G340" s="17" t="s">
        <v>10</v>
      </c>
      <c r="H340" s="17">
        <v>40</v>
      </c>
    </row>
    <row r="341" spans="1:8">
      <c r="A341" s="17" t="s">
        <v>354</v>
      </c>
      <c r="B341" s="17">
        <v>177</v>
      </c>
      <c r="C341" s="17">
        <v>26</v>
      </c>
      <c r="D341" s="18">
        <v>46050.9305555556</v>
      </c>
      <c r="E341" s="17">
        <v>1499</v>
      </c>
      <c r="F341" s="17" t="s">
        <v>12</v>
      </c>
      <c r="G341" s="17" t="s">
        <v>10</v>
      </c>
      <c r="H341" s="17">
        <v>16</v>
      </c>
    </row>
    <row r="342" spans="1:8">
      <c r="A342" s="17" t="s">
        <v>355</v>
      </c>
      <c r="B342" s="17">
        <v>288</v>
      </c>
      <c r="C342" s="17">
        <v>7</v>
      </c>
      <c r="D342" s="18">
        <v>46047.4805555556</v>
      </c>
      <c r="E342" s="17">
        <v>99</v>
      </c>
      <c r="F342" s="17" t="s">
        <v>15</v>
      </c>
      <c r="G342" s="17" t="s">
        <v>10</v>
      </c>
      <c r="H342" s="17">
        <v>40</v>
      </c>
    </row>
    <row r="343" spans="1:8">
      <c r="A343" s="17" t="s">
        <v>356</v>
      </c>
      <c r="B343" s="17">
        <v>137</v>
      </c>
      <c r="C343" s="17">
        <v>29</v>
      </c>
      <c r="D343" s="18">
        <v>46030.5881944444</v>
      </c>
      <c r="E343" s="17">
        <v>2999</v>
      </c>
      <c r="F343" s="17" t="s">
        <v>12</v>
      </c>
      <c r="G343" s="17" t="s">
        <v>25</v>
      </c>
      <c r="H343" s="17">
        <v>31</v>
      </c>
    </row>
    <row r="344" spans="1:8">
      <c r="A344" s="17" t="s">
        <v>357</v>
      </c>
      <c r="B344" s="17">
        <v>149</v>
      </c>
      <c r="C344" s="17">
        <v>25</v>
      </c>
      <c r="D344" s="18">
        <v>46027.1270833333</v>
      </c>
      <c r="E344" s="17">
        <v>1499</v>
      </c>
      <c r="F344" s="17" t="s">
        <v>12</v>
      </c>
      <c r="G344" s="17" t="s">
        <v>10</v>
      </c>
      <c r="H344" s="17">
        <v>78</v>
      </c>
    </row>
    <row r="345" spans="1:8">
      <c r="A345" s="17" t="s">
        <v>358</v>
      </c>
      <c r="B345" s="17">
        <v>82</v>
      </c>
      <c r="C345" s="17">
        <v>21</v>
      </c>
      <c r="D345" s="18">
        <v>46036.3298611111</v>
      </c>
      <c r="E345" s="17">
        <v>49</v>
      </c>
      <c r="F345" s="17" t="s">
        <v>9</v>
      </c>
      <c r="G345" s="17" t="s">
        <v>10</v>
      </c>
      <c r="H345" s="17">
        <v>73</v>
      </c>
    </row>
    <row r="346" spans="1:8">
      <c r="A346" s="17" t="s">
        <v>359</v>
      </c>
      <c r="B346" s="17">
        <v>82</v>
      </c>
      <c r="C346" s="17">
        <v>32</v>
      </c>
      <c r="D346" s="18">
        <v>46046.425</v>
      </c>
      <c r="E346" s="17">
        <v>49</v>
      </c>
      <c r="F346" s="17" t="s">
        <v>12</v>
      </c>
      <c r="G346" s="17" t="s">
        <v>10</v>
      </c>
      <c r="H346" s="17">
        <v>65</v>
      </c>
    </row>
    <row r="347" spans="1:8">
      <c r="A347" s="17" t="s">
        <v>360</v>
      </c>
      <c r="B347" s="17">
        <v>158</v>
      </c>
      <c r="C347" s="17">
        <v>32</v>
      </c>
      <c r="D347" s="18">
        <v>46037.6638888889</v>
      </c>
      <c r="E347" s="17">
        <v>99</v>
      </c>
      <c r="F347" s="17" t="s">
        <v>9</v>
      </c>
      <c r="G347" s="17" t="s">
        <v>10</v>
      </c>
      <c r="H347" s="17">
        <v>2</v>
      </c>
    </row>
    <row r="348" spans="1:8">
      <c r="A348" s="17" t="s">
        <v>361</v>
      </c>
      <c r="B348" s="17">
        <v>235</v>
      </c>
      <c r="C348" s="17">
        <v>16</v>
      </c>
      <c r="D348" s="18">
        <v>46025.5222222222</v>
      </c>
      <c r="E348" s="17">
        <v>99</v>
      </c>
      <c r="F348" s="17" t="s">
        <v>12</v>
      </c>
      <c r="G348" s="17" t="s">
        <v>10</v>
      </c>
      <c r="H348" s="17">
        <v>27</v>
      </c>
    </row>
    <row r="349" spans="1:8">
      <c r="A349" s="17" t="s">
        <v>362</v>
      </c>
      <c r="B349" s="17">
        <v>26</v>
      </c>
      <c r="C349" s="17">
        <v>19</v>
      </c>
      <c r="D349" s="18">
        <v>46041.4604166667</v>
      </c>
      <c r="E349" s="17">
        <v>99</v>
      </c>
      <c r="F349" s="17" t="s">
        <v>9</v>
      </c>
      <c r="G349" s="17" t="s">
        <v>10</v>
      </c>
      <c r="H349" s="17">
        <v>63</v>
      </c>
    </row>
    <row r="350" spans="1:8">
      <c r="A350" s="17" t="s">
        <v>363</v>
      </c>
      <c r="B350" s="17">
        <v>241</v>
      </c>
      <c r="C350" s="17">
        <v>19</v>
      </c>
      <c r="D350" s="18">
        <v>46042.8631944444</v>
      </c>
      <c r="E350" s="17">
        <v>299</v>
      </c>
      <c r="F350" s="17" t="s">
        <v>12</v>
      </c>
      <c r="G350" s="17" t="s">
        <v>10</v>
      </c>
      <c r="H350" s="17">
        <v>68</v>
      </c>
    </row>
    <row r="351" spans="1:8">
      <c r="A351" s="17" t="s">
        <v>364</v>
      </c>
      <c r="B351" s="17">
        <v>69</v>
      </c>
      <c r="C351" s="17">
        <v>17</v>
      </c>
      <c r="D351" s="18">
        <v>46023.14375</v>
      </c>
      <c r="E351" s="17">
        <v>1499</v>
      </c>
      <c r="F351" s="17" t="s">
        <v>12</v>
      </c>
      <c r="G351" s="17" t="s">
        <v>10</v>
      </c>
      <c r="H351" s="17">
        <v>93</v>
      </c>
    </row>
    <row r="352" spans="1:8">
      <c r="A352" s="17" t="s">
        <v>365</v>
      </c>
      <c r="B352" s="17">
        <v>24</v>
      </c>
      <c r="C352" s="17">
        <v>26</v>
      </c>
      <c r="D352" s="18">
        <v>46034.5159722222</v>
      </c>
      <c r="E352" s="17">
        <v>299</v>
      </c>
      <c r="F352" s="17" t="s">
        <v>15</v>
      </c>
      <c r="G352" s="17" t="s">
        <v>10</v>
      </c>
      <c r="H352" s="17">
        <v>6</v>
      </c>
    </row>
    <row r="353" spans="1:8">
      <c r="A353" s="17" t="s">
        <v>366</v>
      </c>
      <c r="B353" s="17">
        <v>186</v>
      </c>
      <c r="C353" s="17">
        <v>36</v>
      </c>
      <c r="D353" s="18">
        <v>46041.7166666667</v>
      </c>
      <c r="E353" s="17">
        <v>4999</v>
      </c>
      <c r="F353" s="17" t="s">
        <v>12</v>
      </c>
      <c r="G353" s="17" t="s">
        <v>10</v>
      </c>
      <c r="H353" s="17">
        <v>36</v>
      </c>
    </row>
    <row r="354" spans="1:8">
      <c r="A354" s="17" t="s">
        <v>367</v>
      </c>
      <c r="B354" s="17">
        <v>231</v>
      </c>
      <c r="C354" s="17">
        <v>36</v>
      </c>
      <c r="D354" s="18">
        <v>46025.5222222222</v>
      </c>
      <c r="E354" s="17">
        <v>149</v>
      </c>
      <c r="F354" s="17" t="s">
        <v>12</v>
      </c>
      <c r="G354" s="17" t="s">
        <v>10</v>
      </c>
      <c r="H354" s="17">
        <v>35</v>
      </c>
    </row>
    <row r="355" spans="1:8">
      <c r="A355" s="17" t="s">
        <v>368</v>
      </c>
      <c r="B355" s="17">
        <v>313</v>
      </c>
      <c r="C355" s="17">
        <v>8</v>
      </c>
      <c r="D355" s="18">
        <v>46049.8215277778</v>
      </c>
      <c r="E355" s="17">
        <v>1499</v>
      </c>
      <c r="F355" s="17" t="s">
        <v>15</v>
      </c>
      <c r="G355" s="17" t="s">
        <v>10</v>
      </c>
      <c r="H355" s="17">
        <v>16</v>
      </c>
    </row>
    <row r="356" spans="1:8">
      <c r="A356" s="17" t="s">
        <v>369</v>
      </c>
      <c r="B356" s="17">
        <v>174</v>
      </c>
      <c r="C356" s="17">
        <v>36</v>
      </c>
      <c r="D356" s="18">
        <v>46026.5159722222</v>
      </c>
      <c r="E356" s="17">
        <v>149</v>
      </c>
      <c r="F356" s="17" t="s">
        <v>12</v>
      </c>
      <c r="G356" s="17" t="s">
        <v>10</v>
      </c>
      <c r="H356" s="17">
        <v>46</v>
      </c>
    </row>
    <row r="357" spans="1:8">
      <c r="A357" s="17" t="s">
        <v>370</v>
      </c>
      <c r="B357" s="17">
        <v>309</v>
      </c>
      <c r="C357" s="17">
        <v>33</v>
      </c>
      <c r="D357" s="18">
        <v>46047.175</v>
      </c>
      <c r="E357" s="17">
        <v>99</v>
      </c>
      <c r="F357" s="17" t="s">
        <v>12</v>
      </c>
      <c r="G357" s="17" t="s">
        <v>10</v>
      </c>
      <c r="H357" s="17">
        <v>51</v>
      </c>
    </row>
    <row r="358" spans="1:8">
      <c r="A358" s="17" t="s">
        <v>371</v>
      </c>
      <c r="B358" s="17">
        <v>20</v>
      </c>
      <c r="C358" s="17">
        <v>9</v>
      </c>
      <c r="D358" s="18">
        <v>46039.0430555556</v>
      </c>
      <c r="E358" s="17">
        <v>99</v>
      </c>
      <c r="F358" s="17" t="s">
        <v>12</v>
      </c>
      <c r="G358" s="17" t="s">
        <v>10</v>
      </c>
      <c r="H358" s="17">
        <v>91</v>
      </c>
    </row>
    <row r="359" spans="1:8">
      <c r="A359" s="17" t="s">
        <v>372</v>
      </c>
      <c r="B359" s="17">
        <v>234</v>
      </c>
      <c r="C359" s="17">
        <v>10</v>
      </c>
      <c r="D359" s="18">
        <v>46033.6479166667</v>
      </c>
      <c r="E359" s="17">
        <v>49</v>
      </c>
      <c r="F359" s="17" t="s">
        <v>12</v>
      </c>
      <c r="G359" s="17" t="s">
        <v>10</v>
      </c>
      <c r="H359" s="17">
        <v>77</v>
      </c>
    </row>
    <row r="360" spans="1:8">
      <c r="A360" s="17" t="s">
        <v>373</v>
      </c>
      <c r="B360" s="17">
        <v>168</v>
      </c>
      <c r="C360" s="17">
        <v>40</v>
      </c>
      <c r="D360" s="18">
        <v>46051.6722222222</v>
      </c>
      <c r="E360" s="17">
        <v>149</v>
      </c>
      <c r="F360" s="17" t="s">
        <v>12</v>
      </c>
      <c r="G360" s="17" t="s">
        <v>38</v>
      </c>
      <c r="H360" s="17">
        <v>40</v>
      </c>
    </row>
    <row r="361" spans="1:8">
      <c r="A361" s="17" t="s">
        <v>374</v>
      </c>
      <c r="B361" s="17">
        <v>154</v>
      </c>
      <c r="C361" s="17">
        <v>38</v>
      </c>
      <c r="D361" s="18">
        <v>46028.5270833333</v>
      </c>
      <c r="E361" s="17">
        <v>99</v>
      </c>
      <c r="F361" s="17" t="s">
        <v>15</v>
      </c>
      <c r="G361" s="17" t="s">
        <v>10</v>
      </c>
      <c r="H361" s="17">
        <v>43</v>
      </c>
    </row>
    <row r="362" spans="1:8">
      <c r="A362" s="17" t="s">
        <v>375</v>
      </c>
      <c r="B362" s="17">
        <v>251</v>
      </c>
      <c r="C362" s="17">
        <v>37</v>
      </c>
      <c r="D362" s="18">
        <v>46039.6902777778</v>
      </c>
      <c r="E362" s="17">
        <v>49</v>
      </c>
      <c r="F362" s="17" t="s">
        <v>12</v>
      </c>
      <c r="G362" s="17" t="s">
        <v>10</v>
      </c>
      <c r="H362" s="17">
        <v>38</v>
      </c>
    </row>
    <row r="363" spans="1:8">
      <c r="A363" s="17" t="s">
        <v>376</v>
      </c>
      <c r="B363" s="17">
        <v>170</v>
      </c>
      <c r="C363" s="17">
        <v>8</v>
      </c>
      <c r="D363" s="18">
        <v>46038.0159722222</v>
      </c>
      <c r="E363" s="17">
        <v>2999</v>
      </c>
      <c r="F363" s="17" t="s">
        <v>12</v>
      </c>
      <c r="G363" s="17" t="s">
        <v>10</v>
      </c>
      <c r="H363" s="17">
        <v>53</v>
      </c>
    </row>
    <row r="364" spans="1:8">
      <c r="A364" s="17" t="s">
        <v>377</v>
      </c>
      <c r="B364" s="17">
        <v>323</v>
      </c>
      <c r="C364" s="17">
        <v>2</v>
      </c>
      <c r="D364" s="18">
        <v>46041.4097222222</v>
      </c>
      <c r="E364" s="17">
        <v>49</v>
      </c>
      <c r="F364" s="17" t="s">
        <v>15</v>
      </c>
      <c r="G364" s="17" t="s">
        <v>10</v>
      </c>
      <c r="H364" s="17">
        <v>76</v>
      </c>
    </row>
    <row r="365" spans="1:8">
      <c r="A365" s="17" t="s">
        <v>378</v>
      </c>
      <c r="B365" s="17">
        <v>297</v>
      </c>
      <c r="C365" s="17">
        <v>37</v>
      </c>
      <c r="D365" s="18">
        <v>46038.3618055556</v>
      </c>
      <c r="E365" s="17">
        <v>2999</v>
      </c>
      <c r="F365" s="17" t="s">
        <v>9</v>
      </c>
      <c r="G365" s="17" t="s">
        <v>10</v>
      </c>
      <c r="H365" s="17">
        <v>29</v>
      </c>
    </row>
    <row r="366" spans="1:8">
      <c r="A366" s="17" t="s">
        <v>379</v>
      </c>
      <c r="B366" s="17">
        <v>246</v>
      </c>
      <c r="C366" s="17">
        <v>11</v>
      </c>
      <c r="D366" s="18">
        <v>46046.0673611111</v>
      </c>
      <c r="E366" s="17">
        <v>299</v>
      </c>
      <c r="F366" s="17" t="s">
        <v>12</v>
      </c>
      <c r="G366" s="17" t="s">
        <v>10</v>
      </c>
      <c r="H366" s="17">
        <v>67</v>
      </c>
    </row>
    <row r="367" spans="1:8">
      <c r="A367" s="17" t="s">
        <v>380</v>
      </c>
      <c r="B367" s="17">
        <v>195</v>
      </c>
      <c r="C367" s="17">
        <v>10</v>
      </c>
      <c r="D367" s="18">
        <v>46043.9854166667</v>
      </c>
      <c r="E367" s="17">
        <v>99</v>
      </c>
      <c r="F367" s="17" t="s">
        <v>12</v>
      </c>
      <c r="G367" s="17" t="s">
        <v>10</v>
      </c>
      <c r="H367" s="17">
        <v>87</v>
      </c>
    </row>
    <row r="368" spans="1:8">
      <c r="A368" s="17" t="s">
        <v>381</v>
      </c>
      <c r="B368" s="17">
        <v>57</v>
      </c>
      <c r="C368" s="17">
        <v>13</v>
      </c>
      <c r="D368" s="18">
        <v>46030.0666666667</v>
      </c>
      <c r="E368" s="17">
        <v>149</v>
      </c>
      <c r="F368" s="17" t="s">
        <v>12</v>
      </c>
      <c r="G368" s="17" t="s">
        <v>10</v>
      </c>
      <c r="H368" s="17">
        <v>2</v>
      </c>
    </row>
    <row r="369" spans="1:8">
      <c r="A369" s="17" t="s">
        <v>382</v>
      </c>
      <c r="B369" s="17">
        <v>78</v>
      </c>
      <c r="C369" s="17">
        <v>27</v>
      </c>
      <c r="D369" s="18">
        <v>46037.4347222222</v>
      </c>
      <c r="E369" s="17">
        <v>1499</v>
      </c>
      <c r="F369" s="17" t="s">
        <v>15</v>
      </c>
      <c r="G369" s="17" t="s">
        <v>25</v>
      </c>
      <c r="H369" s="17">
        <v>88</v>
      </c>
    </row>
    <row r="370" spans="1:8">
      <c r="A370" s="17" t="s">
        <v>383</v>
      </c>
      <c r="B370" s="17">
        <v>314</v>
      </c>
      <c r="C370" s="17">
        <v>31</v>
      </c>
      <c r="D370" s="18">
        <v>46029.5638888889</v>
      </c>
      <c r="E370" s="17">
        <v>49</v>
      </c>
      <c r="F370" s="17" t="s">
        <v>12</v>
      </c>
      <c r="G370" s="17" t="s">
        <v>38</v>
      </c>
      <c r="H370" s="17">
        <v>94</v>
      </c>
    </row>
    <row r="371" spans="1:8">
      <c r="A371" s="17" t="s">
        <v>384</v>
      </c>
      <c r="B371" s="17">
        <v>71</v>
      </c>
      <c r="C371" s="17">
        <v>34</v>
      </c>
      <c r="D371" s="18">
        <v>46046.0729166667</v>
      </c>
      <c r="E371" s="17">
        <v>499</v>
      </c>
      <c r="F371" s="17" t="s">
        <v>12</v>
      </c>
      <c r="G371" s="17" t="s">
        <v>10</v>
      </c>
      <c r="H371" s="17">
        <v>26</v>
      </c>
    </row>
    <row r="372" spans="1:8">
      <c r="A372" s="17" t="s">
        <v>385</v>
      </c>
      <c r="B372" s="17">
        <v>245</v>
      </c>
      <c r="C372" s="17">
        <v>34</v>
      </c>
      <c r="D372" s="18">
        <v>46040.4458333333</v>
      </c>
      <c r="E372" s="17">
        <v>99</v>
      </c>
      <c r="F372" s="17" t="s">
        <v>12</v>
      </c>
      <c r="G372" s="17" t="s">
        <v>10</v>
      </c>
      <c r="H372" s="17">
        <v>48</v>
      </c>
    </row>
    <row r="373" spans="1:8">
      <c r="A373" s="17" t="s">
        <v>386</v>
      </c>
      <c r="B373" s="17">
        <v>273</v>
      </c>
      <c r="C373" s="17">
        <v>22</v>
      </c>
      <c r="D373" s="18">
        <v>46033.2284722222</v>
      </c>
      <c r="E373" s="17">
        <v>299</v>
      </c>
      <c r="F373" s="17" t="s">
        <v>9</v>
      </c>
      <c r="G373" s="17" t="s">
        <v>10</v>
      </c>
      <c r="H373" s="17">
        <v>69</v>
      </c>
    </row>
    <row r="374" spans="1:8">
      <c r="A374" s="17" t="s">
        <v>387</v>
      </c>
      <c r="B374" s="17">
        <v>349</v>
      </c>
      <c r="C374" s="17">
        <v>17</v>
      </c>
      <c r="D374" s="18">
        <v>46034.9090277778</v>
      </c>
      <c r="E374" s="17">
        <v>1499</v>
      </c>
      <c r="F374" s="17" t="s">
        <v>12</v>
      </c>
      <c r="G374" s="17" t="s">
        <v>10</v>
      </c>
      <c r="H374" s="17">
        <v>78</v>
      </c>
    </row>
    <row r="375" spans="1:8">
      <c r="A375" s="17" t="s">
        <v>388</v>
      </c>
      <c r="B375" s="17">
        <v>143</v>
      </c>
      <c r="C375" s="17">
        <v>36</v>
      </c>
      <c r="D375" s="18">
        <v>46038.2604166667</v>
      </c>
      <c r="E375" s="17">
        <v>1499</v>
      </c>
      <c r="F375" s="17" t="s">
        <v>15</v>
      </c>
      <c r="G375" s="17" t="s">
        <v>10</v>
      </c>
      <c r="H375" s="17">
        <v>38</v>
      </c>
    </row>
    <row r="376" spans="1:8">
      <c r="A376" s="17" t="s">
        <v>389</v>
      </c>
      <c r="B376" s="17">
        <v>148</v>
      </c>
      <c r="C376" s="17">
        <v>14</v>
      </c>
      <c r="D376" s="18">
        <v>46030.4090277778</v>
      </c>
      <c r="E376" s="17">
        <v>799</v>
      </c>
      <c r="F376" s="17" t="s">
        <v>9</v>
      </c>
      <c r="G376" s="17" t="s">
        <v>10</v>
      </c>
      <c r="H376" s="17">
        <v>88</v>
      </c>
    </row>
    <row r="377" spans="1:8">
      <c r="A377" s="17" t="s">
        <v>390</v>
      </c>
      <c r="B377" s="17">
        <v>246</v>
      </c>
      <c r="C377" s="17">
        <v>23</v>
      </c>
      <c r="D377" s="18">
        <v>46045.6388888889</v>
      </c>
      <c r="E377" s="17">
        <v>49</v>
      </c>
      <c r="F377" s="17" t="s">
        <v>12</v>
      </c>
      <c r="G377" s="17" t="s">
        <v>10</v>
      </c>
      <c r="H377" s="17">
        <v>71</v>
      </c>
    </row>
    <row r="378" spans="1:8">
      <c r="A378" s="17" t="s">
        <v>391</v>
      </c>
      <c r="B378" s="17">
        <v>148</v>
      </c>
      <c r="C378" s="17">
        <v>8</v>
      </c>
      <c r="D378" s="18">
        <v>46052.9701388889</v>
      </c>
      <c r="E378" s="17">
        <v>99</v>
      </c>
      <c r="F378" s="17" t="s">
        <v>9</v>
      </c>
      <c r="G378" s="17" t="s">
        <v>10</v>
      </c>
      <c r="H378" s="17">
        <v>73</v>
      </c>
    </row>
    <row r="379" spans="1:8">
      <c r="A379" s="17" t="s">
        <v>392</v>
      </c>
      <c r="B379" s="17">
        <v>203</v>
      </c>
      <c r="C379" s="17">
        <v>23</v>
      </c>
      <c r="D379" s="18">
        <v>46044.725</v>
      </c>
      <c r="E379" s="17">
        <v>49</v>
      </c>
      <c r="F379" s="17" t="s">
        <v>12</v>
      </c>
      <c r="G379" s="17" t="s">
        <v>10</v>
      </c>
      <c r="H379" s="17">
        <v>98</v>
      </c>
    </row>
    <row r="380" spans="1:8">
      <c r="A380" s="17" t="s">
        <v>393</v>
      </c>
      <c r="B380" s="17">
        <v>22</v>
      </c>
      <c r="C380" s="17">
        <v>19</v>
      </c>
      <c r="D380" s="18">
        <v>46048.1791666667</v>
      </c>
      <c r="E380" s="17">
        <v>49</v>
      </c>
      <c r="F380" s="17" t="s">
        <v>24</v>
      </c>
      <c r="G380" s="17" t="s">
        <v>10</v>
      </c>
      <c r="H380" s="17">
        <v>91</v>
      </c>
    </row>
    <row r="381" spans="1:8">
      <c r="A381" s="17" t="s">
        <v>394</v>
      </c>
      <c r="B381" s="17">
        <v>227</v>
      </c>
      <c r="C381" s="17">
        <v>17</v>
      </c>
      <c r="D381" s="18">
        <v>46025.4993055556</v>
      </c>
      <c r="E381" s="17">
        <v>299</v>
      </c>
      <c r="F381" s="17" t="s">
        <v>9</v>
      </c>
      <c r="G381" s="17" t="s">
        <v>10</v>
      </c>
      <c r="H381" s="17">
        <v>95</v>
      </c>
    </row>
    <row r="382" spans="1:8">
      <c r="A382" s="17" t="s">
        <v>395</v>
      </c>
      <c r="B382" s="17">
        <v>276</v>
      </c>
      <c r="C382" s="17">
        <v>18</v>
      </c>
      <c r="D382" s="18">
        <v>46038.2583333333</v>
      </c>
      <c r="E382" s="17">
        <v>149</v>
      </c>
      <c r="F382" s="17" t="s">
        <v>9</v>
      </c>
      <c r="G382" s="17" t="s">
        <v>10</v>
      </c>
      <c r="H382" s="17">
        <v>71</v>
      </c>
    </row>
    <row r="383" spans="1:8">
      <c r="A383" s="17" t="s">
        <v>396</v>
      </c>
      <c r="B383" s="17">
        <v>56</v>
      </c>
      <c r="C383" s="17">
        <v>40</v>
      </c>
      <c r="D383" s="18">
        <v>46045.3388888889</v>
      </c>
      <c r="E383" s="17">
        <v>99</v>
      </c>
      <c r="F383" s="17" t="s">
        <v>24</v>
      </c>
      <c r="G383" s="17" t="s">
        <v>10</v>
      </c>
      <c r="H383" s="17">
        <v>94</v>
      </c>
    </row>
    <row r="384" spans="1:8">
      <c r="A384" s="17" t="s">
        <v>397</v>
      </c>
      <c r="B384" s="17">
        <v>26</v>
      </c>
      <c r="C384" s="17">
        <v>34</v>
      </c>
      <c r="D384" s="18">
        <v>46041.3020833333</v>
      </c>
      <c r="E384" s="17">
        <v>499</v>
      </c>
      <c r="F384" s="17" t="s">
        <v>24</v>
      </c>
      <c r="G384" s="17" t="s">
        <v>10</v>
      </c>
      <c r="H384" s="17">
        <v>28</v>
      </c>
    </row>
    <row r="385" spans="1:8">
      <c r="A385" s="17" t="s">
        <v>398</v>
      </c>
      <c r="B385" s="17">
        <v>52</v>
      </c>
      <c r="C385" s="17">
        <v>27</v>
      </c>
      <c r="D385" s="18">
        <v>46043.29375</v>
      </c>
      <c r="E385" s="17">
        <v>499</v>
      </c>
      <c r="F385" s="17" t="s">
        <v>24</v>
      </c>
      <c r="G385" s="17" t="s">
        <v>10</v>
      </c>
      <c r="H385" s="17">
        <v>42</v>
      </c>
    </row>
    <row r="386" spans="1:8">
      <c r="A386" s="17" t="s">
        <v>399</v>
      </c>
      <c r="B386" s="17">
        <v>349</v>
      </c>
      <c r="C386" s="17">
        <v>9</v>
      </c>
      <c r="D386" s="18">
        <v>46045.6291666667</v>
      </c>
      <c r="E386" s="17">
        <v>499</v>
      </c>
      <c r="F386" s="17" t="s">
        <v>9</v>
      </c>
      <c r="G386" s="17" t="s">
        <v>10</v>
      </c>
      <c r="H386" s="17">
        <v>0</v>
      </c>
    </row>
    <row r="387" spans="1:8">
      <c r="A387" s="17" t="s">
        <v>400</v>
      </c>
      <c r="B387" s="17">
        <v>335</v>
      </c>
      <c r="C387" s="17">
        <v>31</v>
      </c>
      <c r="D387" s="18">
        <v>46040.2263888889</v>
      </c>
      <c r="E387" s="17">
        <v>49</v>
      </c>
      <c r="F387" s="17" t="s">
        <v>24</v>
      </c>
      <c r="G387" s="17" t="s">
        <v>10</v>
      </c>
      <c r="H387" s="17">
        <v>61</v>
      </c>
    </row>
    <row r="388" spans="1:8">
      <c r="A388" s="17" t="s">
        <v>401</v>
      </c>
      <c r="B388" s="17">
        <v>148</v>
      </c>
      <c r="C388" s="17">
        <v>21</v>
      </c>
      <c r="D388" s="18">
        <v>46043.2833333333</v>
      </c>
      <c r="E388" s="17">
        <v>49</v>
      </c>
      <c r="F388" s="17" t="s">
        <v>24</v>
      </c>
      <c r="G388" s="17" t="s">
        <v>10</v>
      </c>
      <c r="H388" s="17">
        <v>36</v>
      </c>
    </row>
    <row r="389" spans="1:8">
      <c r="A389" s="17" t="s">
        <v>402</v>
      </c>
      <c r="B389" s="17">
        <v>46</v>
      </c>
      <c r="C389" s="17">
        <v>37</v>
      </c>
      <c r="D389" s="18">
        <v>46043.0819444444</v>
      </c>
      <c r="E389" s="17">
        <v>99</v>
      </c>
      <c r="F389" s="17" t="s">
        <v>9</v>
      </c>
      <c r="G389" s="17" t="s">
        <v>10</v>
      </c>
      <c r="H389" s="17">
        <v>29</v>
      </c>
    </row>
    <row r="390" spans="1:8">
      <c r="A390" s="17" t="s">
        <v>403</v>
      </c>
      <c r="B390" s="17">
        <v>20</v>
      </c>
      <c r="C390" s="17">
        <v>12</v>
      </c>
      <c r="D390" s="18">
        <v>46040.9902777778</v>
      </c>
      <c r="E390" s="17">
        <v>799</v>
      </c>
      <c r="F390" s="17" t="s">
        <v>24</v>
      </c>
      <c r="G390" s="17" t="s">
        <v>10</v>
      </c>
      <c r="H390" s="17">
        <v>53</v>
      </c>
    </row>
    <row r="391" spans="1:8">
      <c r="A391" s="17" t="s">
        <v>404</v>
      </c>
      <c r="B391" s="17">
        <v>19</v>
      </c>
      <c r="C391" s="17">
        <v>26</v>
      </c>
      <c r="D391" s="18">
        <v>46051.2493055556</v>
      </c>
      <c r="E391" s="17">
        <v>49</v>
      </c>
      <c r="F391" s="17" t="s">
        <v>12</v>
      </c>
      <c r="G391" s="17" t="s">
        <v>10</v>
      </c>
      <c r="H391" s="17">
        <v>100</v>
      </c>
    </row>
    <row r="392" spans="1:8">
      <c r="A392" s="17" t="s">
        <v>405</v>
      </c>
      <c r="B392" s="17">
        <v>149</v>
      </c>
      <c r="C392" s="17">
        <v>3</v>
      </c>
      <c r="D392" s="18">
        <v>46038.2493055556</v>
      </c>
      <c r="E392" s="17">
        <v>4999</v>
      </c>
      <c r="F392" s="17" t="s">
        <v>9</v>
      </c>
      <c r="G392" s="17" t="s">
        <v>10</v>
      </c>
      <c r="H392" s="17">
        <v>1</v>
      </c>
    </row>
    <row r="393" spans="1:8">
      <c r="A393" s="17" t="s">
        <v>406</v>
      </c>
      <c r="B393" s="17">
        <v>55</v>
      </c>
      <c r="C393" s="17">
        <v>22</v>
      </c>
      <c r="D393" s="18">
        <v>46032.7763888889</v>
      </c>
      <c r="E393" s="17">
        <v>499</v>
      </c>
      <c r="F393" s="17" t="s">
        <v>12</v>
      </c>
      <c r="G393" s="17" t="s">
        <v>10</v>
      </c>
      <c r="H393" s="17">
        <v>36</v>
      </c>
    </row>
    <row r="394" spans="1:8">
      <c r="A394" s="17" t="s">
        <v>407</v>
      </c>
      <c r="B394" s="17">
        <v>269</v>
      </c>
      <c r="C394" s="17">
        <v>32</v>
      </c>
      <c r="D394" s="18">
        <v>46037.8569444444</v>
      </c>
      <c r="E394" s="17">
        <v>49</v>
      </c>
      <c r="F394" s="17" t="s">
        <v>24</v>
      </c>
      <c r="G394" s="17" t="s">
        <v>10</v>
      </c>
      <c r="H394" s="17">
        <v>17</v>
      </c>
    </row>
    <row r="395" spans="1:8">
      <c r="A395" s="17" t="s">
        <v>408</v>
      </c>
      <c r="B395" s="17">
        <v>140</v>
      </c>
      <c r="C395" s="17">
        <v>13</v>
      </c>
      <c r="D395" s="18">
        <v>46050.6868055556</v>
      </c>
      <c r="E395" s="17">
        <v>2999</v>
      </c>
      <c r="F395" s="17" t="s">
        <v>12</v>
      </c>
      <c r="G395" s="17" t="s">
        <v>10</v>
      </c>
      <c r="H395" s="17">
        <v>14</v>
      </c>
    </row>
    <row r="396" spans="1:8">
      <c r="A396" s="17" t="s">
        <v>409</v>
      </c>
      <c r="B396" s="17">
        <v>235</v>
      </c>
      <c r="C396" s="17">
        <v>17</v>
      </c>
      <c r="D396" s="18">
        <v>46033.2402777778</v>
      </c>
      <c r="E396" s="17">
        <v>2999</v>
      </c>
      <c r="F396" s="17" t="s">
        <v>12</v>
      </c>
      <c r="G396" s="17" t="s">
        <v>10</v>
      </c>
      <c r="H396" s="17">
        <v>91</v>
      </c>
    </row>
    <row r="397" spans="1:8">
      <c r="A397" s="17" t="s">
        <v>410</v>
      </c>
      <c r="B397" s="17">
        <v>173</v>
      </c>
      <c r="C397" s="17">
        <v>19</v>
      </c>
      <c r="D397" s="18">
        <v>46028.0326388889</v>
      </c>
      <c r="E397" s="17">
        <v>499</v>
      </c>
      <c r="F397" s="17" t="s">
        <v>12</v>
      </c>
      <c r="G397" s="17" t="s">
        <v>25</v>
      </c>
      <c r="H397" s="17">
        <v>72</v>
      </c>
    </row>
    <row r="398" spans="1:8">
      <c r="A398" s="17" t="s">
        <v>411</v>
      </c>
      <c r="B398" s="17">
        <v>313</v>
      </c>
      <c r="C398" s="17">
        <v>26</v>
      </c>
      <c r="D398" s="18">
        <v>46044.2576388889</v>
      </c>
      <c r="E398" s="17">
        <v>499</v>
      </c>
      <c r="F398" s="17" t="s">
        <v>12</v>
      </c>
      <c r="G398" s="17" t="s">
        <v>10</v>
      </c>
      <c r="H398" s="17">
        <v>54</v>
      </c>
    </row>
    <row r="399" spans="1:8">
      <c r="A399" s="17" t="s">
        <v>412</v>
      </c>
      <c r="B399" s="17">
        <v>206</v>
      </c>
      <c r="C399" s="17">
        <v>7</v>
      </c>
      <c r="D399" s="18">
        <v>46039.4201388889</v>
      </c>
      <c r="E399" s="17">
        <v>149</v>
      </c>
      <c r="F399" s="17" t="s">
        <v>9</v>
      </c>
      <c r="G399" s="17" t="s">
        <v>10</v>
      </c>
      <c r="H399" s="17">
        <v>23</v>
      </c>
    </row>
    <row r="400" spans="1:8">
      <c r="A400" s="17" t="s">
        <v>413</v>
      </c>
      <c r="B400" s="17">
        <v>128</v>
      </c>
      <c r="C400" s="17">
        <v>1</v>
      </c>
      <c r="D400" s="18">
        <v>46027.6388888889</v>
      </c>
      <c r="E400" s="17">
        <v>1499</v>
      </c>
      <c r="F400" s="17" t="s">
        <v>15</v>
      </c>
      <c r="G400" s="17" t="s">
        <v>10</v>
      </c>
      <c r="H400" s="17">
        <v>33</v>
      </c>
    </row>
    <row r="401" spans="1:8">
      <c r="A401" s="17" t="s">
        <v>414</v>
      </c>
      <c r="B401" s="17">
        <v>137</v>
      </c>
      <c r="C401" s="17">
        <v>22</v>
      </c>
      <c r="D401" s="18">
        <v>46035.3111111111</v>
      </c>
      <c r="E401" s="17">
        <v>799</v>
      </c>
      <c r="F401" s="17" t="s">
        <v>12</v>
      </c>
      <c r="G401" s="17" t="s">
        <v>25</v>
      </c>
      <c r="H401" s="17">
        <v>38</v>
      </c>
    </row>
    <row r="402" spans="1:8">
      <c r="A402" s="17" t="s">
        <v>415</v>
      </c>
      <c r="B402" s="17">
        <v>6</v>
      </c>
      <c r="C402" s="17">
        <v>17</v>
      </c>
      <c r="D402" s="18">
        <v>46041.9833333333</v>
      </c>
      <c r="E402" s="17">
        <v>49</v>
      </c>
      <c r="F402" s="17" t="s">
        <v>12</v>
      </c>
      <c r="G402" s="17" t="s">
        <v>10</v>
      </c>
      <c r="H402" s="17">
        <v>83</v>
      </c>
    </row>
    <row r="403" spans="1:8">
      <c r="A403" s="17" t="s">
        <v>416</v>
      </c>
      <c r="B403" s="17">
        <v>32</v>
      </c>
      <c r="C403" s="17">
        <v>8</v>
      </c>
      <c r="D403" s="18">
        <v>46034.9270833333</v>
      </c>
      <c r="E403" s="17">
        <v>299</v>
      </c>
      <c r="F403" s="17" t="s">
        <v>24</v>
      </c>
      <c r="G403" s="17" t="s">
        <v>10</v>
      </c>
      <c r="H403" s="17">
        <v>59</v>
      </c>
    </row>
    <row r="404" spans="1:8">
      <c r="A404" s="17" t="s">
        <v>417</v>
      </c>
      <c r="B404" s="17">
        <v>258</v>
      </c>
      <c r="C404" s="17">
        <v>20</v>
      </c>
      <c r="D404" s="18">
        <v>46032.2256944444</v>
      </c>
      <c r="E404" s="17">
        <v>149</v>
      </c>
      <c r="F404" s="17" t="s">
        <v>12</v>
      </c>
      <c r="G404" s="17" t="s">
        <v>10</v>
      </c>
      <c r="H404" s="17">
        <v>88</v>
      </c>
    </row>
    <row r="405" spans="1:8">
      <c r="A405" s="17" t="s">
        <v>418</v>
      </c>
      <c r="B405" s="17">
        <v>152</v>
      </c>
      <c r="C405" s="17">
        <v>24</v>
      </c>
      <c r="D405" s="18">
        <v>46026.8736111111</v>
      </c>
      <c r="E405" s="17">
        <v>149</v>
      </c>
      <c r="F405" s="17" t="s">
        <v>12</v>
      </c>
      <c r="G405" s="17" t="s">
        <v>38</v>
      </c>
      <c r="H405" s="17">
        <v>78</v>
      </c>
    </row>
    <row r="406" spans="1:8">
      <c r="A406" s="17" t="s">
        <v>419</v>
      </c>
      <c r="B406" s="17">
        <v>245</v>
      </c>
      <c r="C406" s="17">
        <v>10</v>
      </c>
      <c r="D406" s="18">
        <v>46030.2972222222</v>
      </c>
      <c r="E406" s="17">
        <v>799</v>
      </c>
      <c r="F406" s="17" t="s">
        <v>9</v>
      </c>
      <c r="G406" s="17" t="s">
        <v>10</v>
      </c>
      <c r="H406" s="17">
        <v>58</v>
      </c>
    </row>
    <row r="407" spans="1:8">
      <c r="A407" s="17" t="s">
        <v>420</v>
      </c>
      <c r="B407" s="17">
        <v>213</v>
      </c>
      <c r="C407" s="17">
        <v>36</v>
      </c>
      <c r="D407" s="18">
        <v>46046.8076388889</v>
      </c>
      <c r="E407" s="17">
        <v>49</v>
      </c>
      <c r="F407" s="17" t="s">
        <v>9</v>
      </c>
      <c r="G407" s="17" t="s">
        <v>10</v>
      </c>
      <c r="H407" s="17">
        <v>60</v>
      </c>
    </row>
    <row r="408" spans="1:8">
      <c r="A408" s="17" t="s">
        <v>421</v>
      </c>
      <c r="B408" s="17">
        <v>341</v>
      </c>
      <c r="C408" s="17">
        <v>14</v>
      </c>
      <c r="D408" s="18">
        <v>46047.74375</v>
      </c>
      <c r="E408" s="17">
        <v>99</v>
      </c>
      <c r="F408" s="17" t="s">
        <v>15</v>
      </c>
      <c r="G408" s="17" t="s">
        <v>10</v>
      </c>
      <c r="H408" s="17">
        <v>97</v>
      </c>
    </row>
    <row r="409" spans="1:8">
      <c r="A409" s="17" t="s">
        <v>422</v>
      </c>
      <c r="B409" s="17">
        <v>306</v>
      </c>
      <c r="C409" s="17">
        <v>6</v>
      </c>
      <c r="D409" s="18">
        <v>46030.9083333333</v>
      </c>
      <c r="E409" s="17">
        <v>149</v>
      </c>
      <c r="F409" s="17" t="s">
        <v>15</v>
      </c>
      <c r="G409" s="17" t="s">
        <v>10</v>
      </c>
      <c r="H409" s="17">
        <v>67</v>
      </c>
    </row>
    <row r="410" spans="1:8">
      <c r="A410" s="17" t="s">
        <v>423</v>
      </c>
      <c r="B410" s="17">
        <v>186</v>
      </c>
      <c r="C410" s="17">
        <v>5</v>
      </c>
      <c r="D410" s="18">
        <v>46037.6979166667</v>
      </c>
      <c r="E410" s="17">
        <v>499</v>
      </c>
      <c r="F410" s="17" t="s">
        <v>12</v>
      </c>
      <c r="G410" s="17" t="s">
        <v>10</v>
      </c>
      <c r="H410" s="17">
        <v>72</v>
      </c>
    </row>
    <row r="411" spans="1:8">
      <c r="A411" s="17" t="s">
        <v>424</v>
      </c>
      <c r="B411" s="17">
        <v>281</v>
      </c>
      <c r="C411" s="17">
        <v>33</v>
      </c>
      <c r="D411" s="18">
        <v>46026.0784722222</v>
      </c>
      <c r="E411" s="17">
        <v>4999</v>
      </c>
      <c r="F411" s="17" t="s">
        <v>12</v>
      </c>
      <c r="G411" s="17" t="s">
        <v>10</v>
      </c>
      <c r="H411" s="17">
        <v>25</v>
      </c>
    </row>
    <row r="412" spans="1:8">
      <c r="A412" s="17" t="s">
        <v>425</v>
      </c>
      <c r="B412" s="17">
        <v>85</v>
      </c>
      <c r="C412" s="17">
        <v>21</v>
      </c>
      <c r="D412" s="18">
        <v>46041.7145833333</v>
      </c>
      <c r="E412" s="17">
        <v>99</v>
      </c>
      <c r="F412" s="17" t="s">
        <v>12</v>
      </c>
      <c r="G412" s="17" t="s">
        <v>10</v>
      </c>
      <c r="H412" s="17">
        <v>66</v>
      </c>
    </row>
    <row r="413" spans="1:8">
      <c r="A413" s="17" t="s">
        <v>426</v>
      </c>
      <c r="B413" s="17">
        <v>106</v>
      </c>
      <c r="C413" s="17">
        <v>38</v>
      </c>
      <c r="D413" s="18">
        <v>46037.1548611111</v>
      </c>
      <c r="E413" s="17">
        <v>499</v>
      </c>
      <c r="F413" s="17" t="s">
        <v>12</v>
      </c>
      <c r="G413" s="17" t="s">
        <v>10</v>
      </c>
      <c r="H413" s="17">
        <v>62</v>
      </c>
    </row>
    <row r="414" spans="1:8">
      <c r="A414" s="17" t="s">
        <v>427</v>
      </c>
      <c r="B414" s="17">
        <v>29</v>
      </c>
      <c r="C414" s="17">
        <v>30</v>
      </c>
      <c r="D414" s="18">
        <v>46025.6861111111</v>
      </c>
      <c r="E414" s="17">
        <v>149</v>
      </c>
      <c r="F414" s="17" t="s">
        <v>15</v>
      </c>
      <c r="G414" s="17" t="s">
        <v>10</v>
      </c>
      <c r="H414" s="17">
        <v>16</v>
      </c>
    </row>
    <row r="415" spans="1:8">
      <c r="A415" s="17" t="s">
        <v>428</v>
      </c>
      <c r="B415" s="17">
        <v>289</v>
      </c>
      <c r="C415" s="17">
        <v>4</v>
      </c>
      <c r="D415" s="18">
        <v>46039.5618055556</v>
      </c>
      <c r="E415" s="17">
        <v>1499</v>
      </c>
      <c r="F415" s="17" t="s">
        <v>24</v>
      </c>
      <c r="G415" s="17" t="s">
        <v>10</v>
      </c>
      <c r="H415" s="17">
        <v>71</v>
      </c>
    </row>
    <row r="416" spans="1:8">
      <c r="A416" s="17" t="s">
        <v>429</v>
      </c>
      <c r="B416" s="17">
        <v>158</v>
      </c>
      <c r="C416" s="17">
        <v>2</v>
      </c>
      <c r="D416" s="18">
        <v>46037.9104166667</v>
      </c>
      <c r="E416" s="17">
        <v>1499</v>
      </c>
      <c r="F416" s="17" t="s">
        <v>24</v>
      </c>
      <c r="G416" s="17" t="s">
        <v>10</v>
      </c>
      <c r="H416" s="17">
        <v>50</v>
      </c>
    </row>
    <row r="417" spans="1:8">
      <c r="A417" s="17" t="s">
        <v>430</v>
      </c>
      <c r="B417" s="17">
        <v>112</v>
      </c>
      <c r="C417" s="17">
        <v>38</v>
      </c>
      <c r="D417" s="18">
        <v>46031.0326388889</v>
      </c>
      <c r="E417" s="17">
        <v>49</v>
      </c>
      <c r="F417" s="17" t="s">
        <v>12</v>
      </c>
      <c r="G417" s="17" t="s">
        <v>10</v>
      </c>
      <c r="H417" s="17">
        <v>9</v>
      </c>
    </row>
    <row r="418" spans="1:8">
      <c r="A418" s="17" t="s">
        <v>431</v>
      </c>
      <c r="B418" s="17">
        <v>33</v>
      </c>
      <c r="C418" s="17">
        <v>35</v>
      </c>
      <c r="D418" s="18">
        <v>46024.5569444444</v>
      </c>
      <c r="E418" s="17">
        <v>299</v>
      </c>
      <c r="F418" s="17" t="s">
        <v>24</v>
      </c>
      <c r="G418" s="17" t="s">
        <v>25</v>
      </c>
      <c r="H418" s="17">
        <v>7</v>
      </c>
    </row>
    <row r="419" spans="1:8">
      <c r="A419" s="17" t="s">
        <v>432</v>
      </c>
      <c r="B419" s="17">
        <v>242</v>
      </c>
      <c r="C419" s="17">
        <v>3</v>
      </c>
      <c r="D419" s="18">
        <v>46052.1243055556</v>
      </c>
      <c r="E419" s="17">
        <v>49</v>
      </c>
      <c r="F419" s="17" t="s">
        <v>12</v>
      </c>
      <c r="G419" s="17" t="s">
        <v>10</v>
      </c>
      <c r="H419" s="17">
        <v>36</v>
      </c>
    </row>
    <row r="420" spans="1:8">
      <c r="A420" s="17" t="s">
        <v>433</v>
      </c>
      <c r="B420" s="17">
        <v>70</v>
      </c>
      <c r="C420" s="17">
        <v>27</v>
      </c>
      <c r="D420" s="18">
        <v>46036.2423611111</v>
      </c>
      <c r="E420" s="17">
        <v>149</v>
      </c>
      <c r="F420" s="17" t="s">
        <v>12</v>
      </c>
      <c r="G420" s="17" t="s">
        <v>10</v>
      </c>
      <c r="H420" s="17">
        <v>47</v>
      </c>
    </row>
    <row r="421" spans="1:8">
      <c r="A421" s="17" t="s">
        <v>434</v>
      </c>
      <c r="B421" s="17">
        <v>194</v>
      </c>
      <c r="C421" s="17">
        <v>25</v>
      </c>
      <c r="D421" s="18">
        <v>46051.5194444444</v>
      </c>
      <c r="E421" s="17">
        <v>49</v>
      </c>
      <c r="F421" s="17" t="s">
        <v>9</v>
      </c>
      <c r="G421" s="17" t="s">
        <v>10</v>
      </c>
      <c r="H421" s="17">
        <v>10</v>
      </c>
    </row>
    <row r="422" spans="1:8">
      <c r="A422" s="17" t="s">
        <v>435</v>
      </c>
      <c r="B422" s="17">
        <v>277</v>
      </c>
      <c r="C422" s="17">
        <v>9</v>
      </c>
      <c r="D422" s="18">
        <v>46044.9131944444</v>
      </c>
      <c r="E422" s="17">
        <v>799</v>
      </c>
      <c r="F422" s="17" t="s">
        <v>12</v>
      </c>
      <c r="G422" s="17" t="s">
        <v>10</v>
      </c>
      <c r="H422" s="17">
        <v>83</v>
      </c>
    </row>
    <row r="423" spans="1:8">
      <c r="A423" s="17" t="s">
        <v>436</v>
      </c>
      <c r="B423" s="17">
        <v>92</v>
      </c>
      <c r="C423" s="17">
        <v>35</v>
      </c>
      <c r="D423" s="18">
        <v>46050.4631944444</v>
      </c>
      <c r="E423" s="17">
        <v>49</v>
      </c>
      <c r="F423" s="17" t="s">
        <v>12</v>
      </c>
      <c r="G423" s="17" t="s">
        <v>10</v>
      </c>
      <c r="H423" s="17">
        <v>50</v>
      </c>
    </row>
    <row r="424" spans="1:8">
      <c r="A424" s="17" t="s">
        <v>437</v>
      </c>
      <c r="B424" s="17">
        <v>115</v>
      </c>
      <c r="C424" s="17">
        <v>1</v>
      </c>
      <c r="D424" s="18">
        <v>46039.1986111111</v>
      </c>
      <c r="E424" s="17">
        <v>149</v>
      </c>
      <c r="F424" s="17" t="s">
        <v>9</v>
      </c>
      <c r="G424" s="17" t="s">
        <v>10</v>
      </c>
      <c r="H424" s="17">
        <v>96</v>
      </c>
    </row>
    <row r="425" spans="1:8">
      <c r="A425" s="17" t="s">
        <v>438</v>
      </c>
      <c r="B425" s="17">
        <v>345</v>
      </c>
      <c r="C425" s="17">
        <v>35</v>
      </c>
      <c r="D425" s="18">
        <v>46023.3951388889</v>
      </c>
      <c r="E425" s="17">
        <v>499</v>
      </c>
      <c r="F425" s="17" t="s">
        <v>24</v>
      </c>
      <c r="G425" s="17" t="s">
        <v>10</v>
      </c>
      <c r="H425" s="17">
        <v>54</v>
      </c>
    </row>
    <row r="426" spans="1:8">
      <c r="A426" s="17" t="s">
        <v>439</v>
      </c>
      <c r="B426" s="17">
        <v>118</v>
      </c>
      <c r="C426" s="17">
        <v>16</v>
      </c>
      <c r="D426" s="18">
        <v>46040.5361111111</v>
      </c>
      <c r="E426" s="17">
        <v>49</v>
      </c>
      <c r="F426" s="17" t="s">
        <v>12</v>
      </c>
      <c r="G426" s="17" t="s">
        <v>10</v>
      </c>
      <c r="H426" s="17">
        <v>58</v>
      </c>
    </row>
    <row r="427" spans="1:8">
      <c r="A427" s="17" t="s">
        <v>440</v>
      </c>
      <c r="B427" s="17">
        <v>97</v>
      </c>
      <c r="C427" s="17">
        <v>8</v>
      </c>
      <c r="D427" s="18">
        <v>46034.1784722222</v>
      </c>
      <c r="E427" s="17">
        <v>99</v>
      </c>
      <c r="F427" s="17" t="s">
        <v>15</v>
      </c>
      <c r="G427" s="17" t="s">
        <v>10</v>
      </c>
      <c r="H427" s="17">
        <v>4</v>
      </c>
    </row>
    <row r="428" spans="1:8">
      <c r="A428" s="17" t="s">
        <v>441</v>
      </c>
      <c r="B428" s="17">
        <v>315</v>
      </c>
      <c r="C428" s="17">
        <v>2</v>
      </c>
      <c r="D428" s="18">
        <v>46048.8930555556</v>
      </c>
      <c r="E428" s="17">
        <v>299</v>
      </c>
      <c r="F428" s="17" t="s">
        <v>9</v>
      </c>
      <c r="G428" s="17" t="s">
        <v>10</v>
      </c>
      <c r="H428" s="17">
        <v>30</v>
      </c>
    </row>
    <row r="429" spans="1:8">
      <c r="A429" s="17" t="s">
        <v>442</v>
      </c>
      <c r="B429" s="17">
        <v>305</v>
      </c>
      <c r="C429" s="17">
        <v>3</v>
      </c>
      <c r="D429" s="18">
        <v>46029.0875</v>
      </c>
      <c r="E429" s="17">
        <v>299</v>
      </c>
      <c r="F429" s="17" t="s">
        <v>12</v>
      </c>
      <c r="G429" s="17" t="s">
        <v>10</v>
      </c>
      <c r="H429" s="17">
        <v>57</v>
      </c>
    </row>
    <row r="430" spans="1:8">
      <c r="A430" s="17" t="s">
        <v>443</v>
      </c>
      <c r="B430" s="17">
        <v>25</v>
      </c>
      <c r="C430" s="17">
        <v>16</v>
      </c>
      <c r="D430" s="18">
        <v>46042.90625</v>
      </c>
      <c r="E430" s="17">
        <v>299</v>
      </c>
      <c r="F430" s="17" t="s">
        <v>12</v>
      </c>
      <c r="G430" s="17" t="s">
        <v>10</v>
      </c>
      <c r="H430" s="17">
        <v>94</v>
      </c>
    </row>
    <row r="431" spans="1:8">
      <c r="A431" s="17" t="s">
        <v>444</v>
      </c>
      <c r="B431" s="17">
        <v>120</v>
      </c>
      <c r="C431" s="17">
        <v>35</v>
      </c>
      <c r="D431" s="18">
        <v>46024.5194444444</v>
      </c>
      <c r="E431" s="17">
        <v>49</v>
      </c>
      <c r="F431" s="17" t="s">
        <v>12</v>
      </c>
      <c r="G431" s="17" t="s">
        <v>10</v>
      </c>
      <c r="H431" s="17">
        <v>27</v>
      </c>
    </row>
    <row r="432" spans="1:8">
      <c r="A432" s="17" t="s">
        <v>445</v>
      </c>
      <c r="B432" s="17">
        <v>258</v>
      </c>
      <c r="C432" s="17">
        <v>19</v>
      </c>
      <c r="D432" s="18">
        <v>46047.0472222222</v>
      </c>
      <c r="E432" s="17">
        <v>49</v>
      </c>
      <c r="F432" s="17" t="s">
        <v>9</v>
      </c>
      <c r="G432" s="17" t="s">
        <v>10</v>
      </c>
      <c r="H432" s="17">
        <v>29</v>
      </c>
    </row>
    <row r="433" spans="1:8">
      <c r="A433" s="17" t="s">
        <v>446</v>
      </c>
      <c r="B433" s="17">
        <v>164</v>
      </c>
      <c r="C433" s="17">
        <v>37</v>
      </c>
      <c r="D433" s="18">
        <v>46049.9833333333</v>
      </c>
      <c r="E433" s="17">
        <v>799</v>
      </c>
      <c r="F433" s="17" t="s">
        <v>12</v>
      </c>
      <c r="G433" s="17" t="s">
        <v>10</v>
      </c>
      <c r="H433" s="17">
        <v>76</v>
      </c>
    </row>
    <row r="434" spans="1:8">
      <c r="A434" s="17" t="s">
        <v>447</v>
      </c>
      <c r="B434" s="17">
        <v>165</v>
      </c>
      <c r="C434" s="17">
        <v>16</v>
      </c>
      <c r="D434" s="18">
        <v>46047.9111111111</v>
      </c>
      <c r="E434" s="17">
        <v>49</v>
      </c>
      <c r="F434" s="17" t="s">
        <v>9</v>
      </c>
      <c r="G434" s="17" t="s">
        <v>10</v>
      </c>
      <c r="H434" s="17">
        <v>38</v>
      </c>
    </row>
    <row r="435" spans="1:8">
      <c r="A435" s="17" t="s">
        <v>448</v>
      </c>
      <c r="B435" s="17">
        <v>267</v>
      </c>
      <c r="C435" s="17">
        <v>15</v>
      </c>
      <c r="D435" s="18">
        <v>46051.1958333333</v>
      </c>
      <c r="E435" s="17">
        <v>49</v>
      </c>
      <c r="F435" s="17" t="s">
        <v>15</v>
      </c>
      <c r="G435" s="17" t="s">
        <v>10</v>
      </c>
      <c r="H435" s="17">
        <v>52</v>
      </c>
    </row>
    <row r="436" spans="1:8">
      <c r="A436" s="17" t="s">
        <v>449</v>
      </c>
      <c r="B436" s="17">
        <v>286</v>
      </c>
      <c r="C436" s="17">
        <v>38</v>
      </c>
      <c r="D436" s="18">
        <v>46032.3354166667</v>
      </c>
      <c r="E436" s="17">
        <v>299</v>
      </c>
      <c r="F436" s="17" t="s">
        <v>9</v>
      </c>
      <c r="G436" s="17" t="s">
        <v>10</v>
      </c>
      <c r="H436" s="17">
        <v>94</v>
      </c>
    </row>
    <row r="437" spans="1:8">
      <c r="A437" s="17" t="s">
        <v>450</v>
      </c>
      <c r="B437" s="17">
        <v>348</v>
      </c>
      <c r="C437" s="17">
        <v>28</v>
      </c>
      <c r="D437" s="18">
        <v>46052.2361111111</v>
      </c>
      <c r="E437" s="17">
        <v>499</v>
      </c>
      <c r="F437" s="17" t="s">
        <v>24</v>
      </c>
      <c r="G437" s="17" t="s">
        <v>10</v>
      </c>
      <c r="H437" s="17">
        <v>71</v>
      </c>
    </row>
    <row r="438" spans="1:8">
      <c r="A438" s="17" t="s">
        <v>451</v>
      </c>
      <c r="B438" s="17">
        <v>330</v>
      </c>
      <c r="C438" s="17">
        <v>25</v>
      </c>
      <c r="D438" s="18">
        <v>46038.0569444444</v>
      </c>
      <c r="E438" s="17">
        <v>799</v>
      </c>
      <c r="F438" s="17" t="s">
        <v>12</v>
      </c>
      <c r="G438" s="17" t="s">
        <v>10</v>
      </c>
      <c r="H438" s="17">
        <v>100</v>
      </c>
    </row>
    <row r="439" spans="1:8">
      <c r="A439" s="17" t="s">
        <v>452</v>
      </c>
      <c r="B439" s="17">
        <v>214</v>
      </c>
      <c r="C439" s="17">
        <v>27</v>
      </c>
      <c r="D439" s="18">
        <v>46039.4472222222</v>
      </c>
      <c r="E439" s="17">
        <v>299</v>
      </c>
      <c r="F439" s="17" t="s">
        <v>24</v>
      </c>
      <c r="G439" s="17" t="s">
        <v>10</v>
      </c>
      <c r="H439" s="17">
        <v>19</v>
      </c>
    </row>
    <row r="440" spans="1:8">
      <c r="A440" s="17" t="s">
        <v>453</v>
      </c>
      <c r="B440" s="17">
        <v>276</v>
      </c>
      <c r="C440" s="17">
        <v>31</v>
      </c>
      <c r="D440" s="18">
        <v>46032.5076388889</v>
      </c>
      <c r="E440" s="17">
        <v>499</v>
      </c>
      <c r="F440" s="17" t="s">
        <v>12</v>
      </c>
      <c r="G440" s="17" t="s">
        <v>10</v>
      </c>
      <c r="H440" s="17">
        <v>30</v>
      </c>
    </row>
    <row r="441" spans="1:8">
      <c r="A441" s="17" t="s">
        <v>454</v>
      </c>
      <c r="B441" s="17">
        <v>74</v>
      </c>
      <c r="C441" s="17">
        <v>30</v>
      </c>
      <c r="D441" s="18">
        <v>46050.3048611111</v>
      </c>
      <c r="E441" s="17">
        <v>49</v>
      </c>
      <c r="F441" s="17" t="s">
        <v>12</v>
      </c>
      <c r="G441" s="17" t="s">
        <v>10</v>
      </c>
      <c r="H441" s="17">
        <v>7</v>
      </c>
    </row>
    <row r="442" spans="1:8">
      <c r="A442" s="17" t="s">
        <v>455</v>
      </c>
      <c r="B442" s="17">
        <v>286</v>
      </c>
      <c r="C442" s="17">
        <v>34</v>
      </c>
      <c r="D442" s="18">
        <v>46040.5597222222</v>
      </c>
      <c r="E442" s="17">
        <v>49</v>
      </c>
      <c r="F442" s="17" t="s">
        <v>24</v>
      </c>
      <c r="G442" s="17" t="s">
        <v>10</v>
      </c>
      <c r="H442" s="17">
        <v>17</v>
      </c>
    </row>
    <row r="443" spans="1:8">
      <c r="A443" s="17" t="s">
        <v>456</v>
      </c>
      <c r="B443" s="17">
        <v>105</v>
      </c>
      <c r="C443" s="17">
        <v>22</v>
      </c>
      <c r="D443" s="18">
        <v>46035.3027777778</v>
      </c>
      <c r="E443" s="17">
        <v>4999</v>
      </c>
      <c r="F443" s="17" t="s">
        <v>12</v>
      </c>
      <c r="G443" s="17" t="s">
        <v>10</v>
      </c>
      <c r="H443" s="17">
        <v>82</v>
      </c>
    </row>
    <row r="444" spans="1:8">
      <c r="A444" s="17" t="s">
        <v>457</v>
      </c>
      <c r="B444" s="17">
        <v>190</v>
      </c>
      <c r="C444" s="17">
        <v>6</v>
      </c>
      <c r="D444" s="18">
        <v>46025.6208333333</v>
      </c>
      <c r="E444" s="17">
        <v>799</v>
      </c>
      <c r="F444" s="17" t="s">
        <v>9</v>
      </c>
      <c r="G444" s="17" t="s">
        <v>10</v>
      </c>
      <c r="H444" s="17">
        <v>68</v>
      </c>
    </row>
    <row r="445" spans="1:8">
      <c r="A445" s="17" t="s">
        <v>458</v>
      </c>
      <c r="B445" s="17">
        <v>138</v>
      </c>
      <c r="C445" s="17">
        <v>25</v>
      </c>
      <c r="D445" s="18">
        <v>46046.2520833333</v>
      </c>
      <c r="E445" s="17">
        <v>299</v>
      </c>
      <c r="F445" s="17" t="s">
        <v>9</v>
      </c>
      <c r="G445" s="17" t="s">
        <v>10</v>
      </c>
      <c r="H445" s="17">
        <v>86</v>
      </c>
    </row>
    <row r="446" spans="1:8">
      <c r="A446" s="17" t="s">
        <v>459</v>
      </c>
      <c r="B446" s="17">
        <v>38</v>
      </c>
      <c r="C446" s="17">
        <v>13</v>
      </c>
      <c r="D446" s="18">
        <v>46042.7930555556</v>
      </c>
      <c r="E446" s="17">
        <v>4999</v>
      </c>
      <c r="F446" s="17" t="s">
        <v>15</v>
      </c>
      <c r="G446" s="17" t="s">
        <v>10</v>
      </c>
      <c r="H446" s="17">
        <v>97</v>
      </c>
    </row>
    <row r="447" spans="1:8">
      <c r="A447" s="17" t="s">
        <v>460</v>
      </c>
      <c r="B447" s="17">
        <v>287</v>
      </c>
      <c r="C447" s="17">
        <v>14</v>
      </c>
      <c r="D447" s="18">
        <v>46041.9875</v>
      </c>
      <c r="E447" s="17">
        <v>99</v>
      </c>
      <c r="F447" s="17" t="s">
        <v>9</v>
      </c>
      <c r="G447" s="17" t="s">
        <v>10</v>
      </c>
      <c r="H447" s="17">
        <v>61</v>
      </c>
    </row>
    <row r="448" spans="1:8">
      <c r="A448" s="17" t="s">
        <v>461</v>
      </c>
      <c r="B448" s="17">
        <v>8</v>
      </c>
      <c r="C448" s="17">
        <v>14</v>
      </c>
      <c r="D448" s="18">
        <v>46029.4298611111</v>
      </c>
      <c r="E448" s="17">
        <v>49</v>
      </c>
      <c r="F448" s="17" t="s">
        <v>12</v>
      </c>
      <c r="G448" s="17" t="s">
        <v>10</v>
      </c>
      <c r="H448" s="17">
        <v>24</v>
      </c>
    </row>
    <row r="449" spans="1:8">
      <c r="A449" s="17" t="s">
        <v>462</v>
      </c>
      <c r="B449" s="17">
        <v>246</v>
      </c>
      <c r="C449" s="17">
        <v>16</v>
      </c>
      <c r="D449" s="18">
        <v>46046.1576388889</v>
      </c>
      <c r="E449" s="17">
        <v>1499</v>
      </c>
      <c r="F449" s="17" t="s">
        <v>9</v>
      </c>
      <c r="G449" s="17" t="s">
        <v>10</v>
      </c>
      <c r="H449" s="17">
        <v>89</v>
      </c>
    </row>
    <row r="450" spans="1:8">
      <c r="A450" s="17" t="s">
        <v>463</v>
      </c>
      <c r="B450" s="17">
        <v>204</v>
      </c>
      <c r="C450" s="17">
        <v>16</v>
      </c>
      <c r="D450" s="18">
        <v>46042.9256944444</v>
      </c>
      <c r="E450" s="17">
        <v>149</v>
      </c>
      <c r="F450" s="17" t="s">
        <v>12</v>
      </c>
      <c r="G450" s="17" t="s">
        <v>10</v>
      </c>
      <c r="H450" s="17">
        <v>70</v>
      </c>
    </row>
    <row r="451" spans="1:8">
      <c r="A451" s="17" t="s">
        <v>464</v>
      </c>
      <c r="B451" s="17">
        <v>239</v>
      </c>
      <c r="C451" s="17">
        <v>35</v>
      </c>
      <c r="D451" s="18">
        <v>46033.3916666667</v>
      </c>
      <c r="E451" s="17">
        <v>4999</v>
      </c>
      <c r="F451" s="17" t="s">
        <v>12</v>
      </c>
      <c r="G451" s="17" t="s">
        <v>10</v>
      </c>
      <c r="H451" s="17">
        <v>83</v>
      </c>
    </row>
    <row r="452" spans="1:8">
      <c r="A452" s="17" t="s">
        <v>465</v>
      </c>
      <c r="B452" s="17">
        <v>185</v>
      </c>
      <c r="C452" s="17">
        <v>33</v>
      </c>
      <c r="D452" s="18">
        <v>46034.3861111111</v>
      </c>
      <c r="E452" s="17">
        <v>299</v>
      </c>
      <c r="F452" s="17" t="s">
        <v>12</v>
      </c>
      <c r="G452" s="17" t="s">
        <v>10</v>
      </c>
      <c r="H452" s="17">
        <v>63</v>
      </c>
    </row>
    <row r="453" spans="1:8">
      <c r="A453" s="17" t="s">
        <v>466</v>
      </c>
      <c r="B453" s="17">
        <v>241</v>
      </c>
      <c r="C453" s="17">
        <v>21</v>
      </c>
      <c r="D453" s="18">
        <v>46037.1604166667</v>
      </c>
      <c r="E453" s="17">
        <v>299</v>
      </c>
      <c r="F453" s="17" t="s">
        <v>24</v>
      </c>
      <c r="G453" s="17" t="s">
        <v>10</v>
      </c>
      <c r="H453" s="17">
        <v>26</v>
      </c>
    </row>
    <row r="454" spans="1:8">
      <c r="A454" s="17" t="s">
        <v>467</v>
      </c>
      <c r="B454" s="17">
        <v>24</v>
      </c>
      <c r="C454" s="17">
        <v>37</v>
      </c>
      <c r="D454" s="18">
        <v>46034.4347222222</v>
      </c>
      <c r="E454" s="17">
        <v>149</v>
      </c>
      <c r="F454" s="17" t="s">
        <v>12</v>
      </c>
      <c r="G454" s="17" t="s">
        <v>10</v>
      </c>
      <c r="H454" s="17">
        <v>28</v>
      </c>
    </row>
    <row r="455" spans="1:8">
      <c r="A455" s="17" t="s">
        <v>468</v>
      </c>
      <c r="B455" s="17">
        <v>134</v>
      </c>
      <c r="C455" s="17">
        <v>36</v>
      </c>
      <c r="D455" s="18">
        <v>46046.1673611111</v>
      </c>
      <c r="E455" s="17">
        <v>1499</v>
      </c>
      <c r="F455" s="17" t="s">
        <v>12</v>
      </c>
      <c r="G455" s="17" t="s">
        <v>10</v>
      </c>
      <c r="H455" s="17">
        <v>74</v>
      </c>
    </row>
    <row r="456" spans="1:8">
      <c r="A456" s="17" t="s">
        <v>469</v>
      </c>
      <c r="B456" s="17">
        <v>152</v>
      </c>
      <c r="C456" s="17">
        <v>10</v>
      </c>
      <c r="D456" s="18">
        <v>46041.9763888889</v>
      </c>
      <c r="E456" s="17">
        <v>499</v>
      </c>
      <c r="F456" s="17" t="s">
        <v>9</v>
      </c>
      <c r="G456" s="17" t="s">
        <v>10</v>
      </c>
      <c r="H456" s="17">
        <v>25</v>
      </c>
    </row>
    <row r="457" spans="1:8">
      <c r="A457" s="17" t="s">
        <v>470</v>
      </c>
      <c r="B457" s="17">
        <v>292</v>
      </c>
      <c r="C457" s="17">
        <v>16</v>
      </c>
      <c r="D457" s="18">
        <v>46033.3083333333</v>
      </c>
      <c r="E457" s="17">
        <v>499</v>
      </c>
      <c r="F457" s="17" t="s">
        <v>15</v>
      </c>
      <c r="G457" s="17" t="s">
        <v>10</v>
      </c>
      <c r="H457" s="17">
        <v>63</v>
      </c>
    </row>
    <row r="458" spans="1:8">
      <c r="A458" s="17" t="s">
        <v>471</v>
      </c>
      <c r="B458" s="17">
        <v>173</v>
      </c>
      <c r="C458" s="17">
        <v>17</v>
      </c>
      <c r="D458" s="18">
        <v>46040.8631944444</v>
      </c>
      <c r="E458" s="17">
        <v>99</v>
      </c>
      <c r="F458" s="17" t="s">
        <v>15</v>
      </c>
      <c r="G458" s="17" t="s">
        <v>10</v>
      </c>
      <c r="H458" s="17">
        <v>97</v>
      </c>
    </row>
    <row r="459" spans="1:8">
      <c r="A459" s="17" t="s">
        <v>472</v>
      </c>
      <c r="B459" s="17">
        <v>329</v>
      </c>
      <c r="C459" s="17">
        <v>32</v>
      </c>
      <c r="D459" s="18">
        <v>46049.6569444444</v>
      </c>
      <c r="E459" s="17">
        <v>1499</v>
      </c>
      <c r="F459" s="17" t="s">
        <v>12</v>
      </c>
      <c r="G459" s="17" t="s">
        <v>10</v>
      </c>
      <c r="H459" s="17">
        <v>58</v>
      </c>
    </row>
    <row r="460" spans="1:8">
      <c r="A460" s="17" t="s">
        <v>473</v>
      </c>
      <c r="B460" s="17">
        <v>181</v>
      </c>
      <c r="C460" s="17">
        <v>11</v>
      </c>
      <c r="D460" s="18">
        <v>46028.9930555556</v>
      </c>
      <c r="E460" s="17">
        <v>1499</v>
      </c>
      <c r="F460" s="17" t="s">
        <v>12</v>
      </c>
      <c r="G460" s="17" t="s">
        <v>10</v>
      </c>
      <c r="H460" s="17">
        <v>17</v>
      </c>
    </row>
    <row r="461" spans="1:8">
      <c r="A461" s="17" t="s">
        <v>474</v>
      </c>
      <c r="B461" s="17">
        <v>95</v>
      </c>
      <c r="C461" s="17">
        <v>35</v>
      </c>
      <c r="D461" s="18">
        <v>46046.7298611111</v>
      </c>
      <c r="E461" s="17">
        <v>149</v>
      </c>
      <c r="F461" s="17" t="s">
        <v>9</v>
      </c>
      <c r="G461" s="17" t="s">
        <v>10</v>
      </c>
      <c r="H461" s="17">
        <v>82</v>
      </c>
    </row>
    <row r="462" spans="1:8">
      <c r="A462" s="17" t="s">
        <v>475</v>
      </c>
      <c r="B462" s="17">
        <v>39</v>
      </c>
      <c r="C462" s="17">
        <v>4</v>
      </c>
      <c r="D462" s="18">
        <v>46024.6680555556</v>
      </c>
      <c r="E462" s="17">
        <v>149</v>
      </c>
      <c r="F462" s="17" t="s">
        <v>15</v>
      </c>
      <c r="G462" s="17" t="s">
        <v>10</v>
      </c>
      <c r="H462" s="17">
        <v>97</v>
      </c>
    </row>
    <row r="463" spans="1:8">
      <c r="A463" s="17" t="s">
        <v>476</v>
      </c>
      <c r="B463" s="17">
        <v>323</v>
      </c>
      <c r="C463" s="17">
        <v>15</v>
      </c>
      <c r="D463" s="18">
        <v>46023.5472222222</v>
      </c>
      <c r="E463" s="17">
        <v>499</v>
      </c>
      <c r="F463" s="17" t="s">
        <v>12</v>
      </c>
      <c r="G463" s="17" t="s">
        <v>10</v>
      </c>
      <c r="H463" s="17">
        <v>8</v>
      </c>
    </row>
    <row r="464" spans="1:8">
      <c r="A464" s="17" t="s">
        <v>477</v>
      </c>
      <c r="B464" s="17">
        <v>112</v>
      </c>
      <c r="C464" s="17">
        <v>33</v>
      </c>
      <c r="D464" s="18">
        <v>46045.1666666667</v>
      </c>
      <c r="E464" s="17">
        <v>49</v>
      </c>
      <c r="F464" s="17" t="s">
        <v>15</v>
      </c>
      <c r="G464" s="17" t="s">
        <v>10</v>
      </c>
      <c r="H464" s="17">
        <v>58</v>
      </c>
    </row>
    <row r="465" spans="1:8">
      <c r="A465" s="17" t="s">
        <v>478</v>
      </c>
      <c r="B465" s="17">
        <v>327</v>
      </c>
      <c r="C465" s="17">
        <v>40</v>
      </c>
      <c r="D465" s="18">
        <v>46034.06875</v>
      </c>
      <c r="E465" s="17">
        <v>99</v>
      </c>
      <c r="F465" s="17" t="s">
        <v>12</v>
      </c>
      <c r="G465" s="17" t="s">
        <v>10</v>
      </c>
      <c r="H465" s="17">
        <v>61</v>
      </c>
    </row>
    <row r="466" spans="1:8">
      <c r="A466" s="17" t="s">
        <v>479</v>
      </c>
      <c r="B466" s="17">
        <v>4</v>
      </c>
      <c r="C466" s="17">
        <v>35</v>
      </c>
      <c r="D466" s="18">
        <v>46044.6256944444</v>
      </c>
      <c r="E466" s="17">
        <v>299</v>
      </c>
      <c r="F466" s="17" t="s">
        <v>12</v>
      </c>
      <c r="G466" s="17" t="s">
        <v>10</v>
      </c>
      <c r="H466" s="17">
        <v>70</v>
      </c>
    </row>
    <row r="467" spans="1:8">
      <c r="A467" s="17" t="s">
        <v>480</v>
      </c>
      <c r="B467" s="17">
        <v>272</v>
      </c>
      <c r="C467" s="17">
        <v>18</v>
      </c>
      <c r="D467" s="18">
        <v>46036.0006944444</v>
      </c>
      <c r="E467" s="17">
        <v>149</v>
      </c>
      <c r="F467" s="17" t="s">
        <v>12</v>
      </c>
      <c r="G467" s="17" t="s">
        <v>10</v>
      </c>
      <c r="H467" s="17">
        <v>68</v>
      </c>
    </row>
    <row r="468" spans="1:8">
      <c r="A468" s="17" t="s">
        <v>481</v>
      </c>
      <c r="B468" s="17">
        <v>346</v>
      </c>
      <c r="C468" s="17">
        <v>28</v>
      </c>
      <c r="D468" s="18">
        <v>46032.0222222222</v>
      </c>
      <c r="E468" s="17">
        <v>499</v>
      </c>
      <c r="F468" s="17" t="s">
        <v>12</v>
      </c>
      <c r="G468" s="17" t="s">
        <v>10</v>
      </c>
      <c r="H468" s="17">
        <v>22</v>
      </c>
    </row>
    <row r="469" spans="1:8">
      <c r="A469" s="17" t="s">
        <v>482</v>
      </c>
      <c r="B469" s="17">
        <v>77</v>
      </c>
      <c r="C469" s="17">
        <v>16</v>
      </c>
      <c r="D469" s="18">
        <v>46026.1479166667</v>
      </c>
      <c r="E469" s="17">
        <v>49</v>
      </c>
      <c r="F469" s="17" t="s">
        <v>9</v>
      </c>
      <c r="G469" s="17" t="s">
        <v>10</v>
      </c>
      <c r="H469" s="17">
        <v>24</v>
      </c>
    </row>
    <row r="470" spans="1:8">
      <c r="A470" s="17" t="s">
        <v>483</v>
      </c>
      <c r="B470" s="17">
        <v>182</v>
      </c>
      <c r="C470" s="17">
        <v>18</v>
      </c>
      <c r="D470" s="18">
        <v>46042.6777777778</v>
      </c>
      <c r="E470" s="17">
        <v>149</v>
      </c>
      <c r="F470" s="17" t="s">
        <v>24</v>
      </c>
      <c r="G470" s="17" t="s">
        <v>10</v>
      </c>
      <c r="H470" s="17">
        <v>50</v>
      </c>
    </row>
    <row r="471" spans="1:8">
      <c r="A471" s="17" t="s">
        <v>484</v>
      </c>
      <c r="B471" s="17">
        <v>236</v>
      </c>
      <c r="C471" s="17">
        <v>37</v>
      </c>
      <c r="D471" s="18">
        <v>46025.4756944444</v>
      </c>
      <c r="E471" s="17">
        <v>299</v>
      </c>
      <c r="F471" s="17" t="s">
        <v>24</v>
      </c>
      <c r="G471" s="17" t="s">
        <v>10</v>
      </c>
      <c r="H471" s="17">
        <v>31</v>
      </c>
    </row>
    <row r="472" spans="1:8">
      <c r="A472" s="17" t="s">
        <v>485</v>
      </c>
      <c r="B472" s="17">
        <v>42</v>
      </c>
      <c r="C472" s="17">
        <v>3</v>
      </c>
      <c r="D472" s="18">
        <v>46045.3048611111</v>
      </c>
      <c r="E472" s="17">
        <v>49</v>
      </c>
      <c r="F472" s="17" t="s">
        <v>12</v>
      </c>
      <c r="G472" s="17" t="s">
        <v>10</v>
      </c>
      <c r="H472" s="17">
        <v>11</v>
      </c>
    </row>
    <row r="473" spans="1:8">
      <c r="A473" s="17" t="s">
        <v>486</v>
      </c>
      <c r="B473" s="17">
        <v>283</v>
      </c>
      <c r="C473" s="17">
        <v>31</v>
      </c>
      <c r="D473" s="18">
        <v>46035.5166666667</v>
      </c>
      <c r="E473" s="17">
        <v>299</v>
      </c>
      <c r="F473" s="17" t="s">
        <v>15</v>
      </c>
      <c r="G473" s="17" t="s">
        <v>10</v>
      </c>
      <c r="H473" s="17">
        <v>7</v>
      </c>
    </row>
    <row r="474" spans="1:8">
      <c r="A474" s="17" t="s">
        <v>487</v>
      </c>
      <c r="B474" s="17">
        <v>88</v>
      </c>
      <c r="C474" s="17">
        <v>6</v>
      </c>
      <c r="D474" s="18">
        <v>46043.0305555556</v>
      </c>
      <c r="E474" s="17">
        <v>49</v>
      </c>
      <c r="F474" s="17" t="s">
        <v>12</v>
      </c>
      <c r="G474" s="17" t="s">
        <v>10</v>
      </c>
      <c r="H474" s="17">
        <v>63</v>
      </c>
    </row>
    <row r="475" spans="1:8">
      <c r="A475" s="17" t="s">
        <v>488</v>
      </c>
      <c r="B475" s="17">
        <v>170</v>
      </c>
      <c r="C475" s="17">
        <v>37</v>
      </c>
      <c r="D475" s="18">
        <v>46050.5701388889</v>
      </c>
      <c r="E475" s="17">
        <v>99</v>
      </c>
      <c r="F475" s="17" t="s">
        <v>12</v>
      </c>
      <c r="G475" s="17" t="s">
        <v>25</v>
      </c>
      <c r="H475" s="17">
        <v>12</v>
      </c>
    </row>
    <row r="476" spans="1:8">
      <c r="A476" s="17" t="s">
        <v>489</v>
      </c>
      <c r="B476" s="17">
        <v>22</v>
      </c>
      <c r="C476" s="17">
        <v>15</v>
      </c>
      <c r="D476" s="18">
        <v>46051.7069444444</v>
      </c>
      <c r="E476" s="17">
        <v>49</v>
      </c>
      <c r="F476" s="17" t="s">
        <v>15</v>
      </c>
      <c r="G476" s="17" t="s">
        <v>10</v>
      </c>
      <c r="H476" s="17">
        <v>27</v>
      </c>
    </row>
    <row r="477" spans="1:8">
      <c r="A477" s="17" t="s">
        <v>490</v>
      </c>
      <c r="B477" s="17">
        <v>291</v>
      </c>
      <c r="C477" s="17">
        <v>31</v>
      </c>
      <c r="D477" s="18">
        <v>46051.9555555556</v>
      </c>
      <c r="E477" s="17">
        <v>49</v>
      </c>
      <c r="F477" s="17" t="s">
        <v>15</v>
      </c>
      <c r="G477" s="17" t="s">
        <v>25</v>
      </c>
      <c r="H477" s="17">
        <v>34</v>
      </c>
    </row>
    <row r="478" spans="1:8">
      <c r="A478" s="17" t="s">
        <v>491</v>
      </c>
      <c r="B478" s="17">
        <v>144</v>
      </c>
      <c r="C478" s="17">
        <v>35</v>
      </c>
      <c r="D478" s="18">
        <v>46024.1131944444</v>
      </c>
      <c r="E478" s="17">
        <v>1499</v>
      </c>
      <c r="F478" s="17" t="s">
        <v>12</v>
      </c>
      <c r="G478" s="17" t="s">
        <v>10</v>
      </c>
      <c r="H478" s="17">
        <v>72</v>
      </c>
    </row>
    <row r="479" spans="1:8">
      <c r="A479" s="17" t="s">
        <v>492</v>
      </c>
      <c r="B479" s="17">
        <v>162</v>
      </c>
      <c r="C479" s="17">
        <v>2</v>
      </c>
      <c r="D479" s="18">
        <v>46044.0493055556</v>
      </c>
      <c r="E479" s="17">
        <v>299</v>
      </c>
      <c r="F479" s="17" t="s">
        <v>9</v>
      </c>
      <c r="G479" s="17" t="s">
        <v>10</v>
      </c>
      <c r="H479" s="17">
        <v>26</v>
      </c>
    </row>
    <row r="480" spans="1:8">
      <c r="A480" s="17" t="s">
        <v>493</v>
      </c>
      <c r="B480" s="17">
        <v>204</v>
      </c>
      <c r="C480" s="17">
        <v>5</v>
      </c>
      <c r="D480" s="18">
        <v>46041.2</v>
      </c>
      <c r="E480" s="17">
        <v>49</v>
      </c>
      <c r="F480" s="17" t="s">
        <v>12</v>
      </c>
      <c r="G480" s="17" t="s">
        <v>10</v>
      </c>
      <c r="H480" s="17">
        <v>38</v>
      </c>
    </row>
    <row r="481" spans="1:8">
      <c r="A481" s="17" t="s">
        <v>494</v>
      </c>
      <c r="B481" s="17">
        <v>291</v>
      </c>
      <c r="C481" s="17">
        <v>25</v>
      </c>
      <c r="D481" s="18">
        <v>46028.7604166667</v>
      </c>
      <c r="E481" s="17">
        <v>99</v>
      </c>
      <c r="F481" s="17" t="s">
        <v>9</v>
      </c>
      <c r="G481" s="17" t="s">
        <v>10</v>
      </c>
      <c r="H481" s="17">
        <v>86</v>
      </c>
    </row>
    <row r="482" spans="1:8">
      <c r="A482" s="17" t="s">
        <v>495</v>
      </c>
      <c r="B482" s="17">
        <v>197</v>
      </c>
      <c r="C482" s="17">
        <v>9</v>
      </c>
      <c r="D482" s="18">
        <v>46051.7229166667</v>
      </c>
      <c r="E482" s="17">
        <v>49</v>
      </c>
      <c r="F482" s="17" t="s">
        <v>9</v>
      </c>
      <c r="G482" s="17" t="s">
        <v>25</v>
      </c>
      <c r="H482" s="17">
        <v>88</v>
      </c>
    </row>
    <row r="483" spans="1:8">
      <c r="A483" s="17" t="s">
        <v>496</v>
      </c>
      <c r="B483" s="17">
        <v>178</v>
      </c>
      <c r="C483" s="17">
        <v>4</v>
      </c>
      <c r="D483" s="18">
        <v>46046.1055555556</v>
      </c>
      <c r="E483" s="17">
        <v>1499</v>
      </c>
      <c r="F483" s="17" t="s">
        <v>12</v>
      </c>
      <c r="G483" s="17" t="s">
        <v>10</v>
      </c>
      <c r="H483" s="17">
        <v>12</v>
      </c>
    </row>
    <row r="484" spans="1:8">
      <c r="A484" s="17" t="s">
        <v>497</v>
      </c>
      <c r="B484" s="17">
        <v>39</v>
      </c>
      <c r="C484" s="17">
        <v>22</v>
      </c>
      <c r="D484" s="18">
        <v>46036.3284722222</v>
      </c>
      <c r="E484" s="17">
        <v>799</v>
      </c>
      <c r="F484" s="17" t="s">
        <v>15</v>
      </c>
      <c r="G484" s="17" t="s">
        <v>10</v>
      </c>
      <c r="H484" s="17">
        <v>77</v>
      </c>
    </row>
    <row r="485" spans="1:8">
      <c r="A485" s="17" t="s">
        <v>498</v>
      </c>
      <c r="B485" s="17">
        <v>204</v>
      </c>
      <c r="C485" s="17">
        <v>21</v>
      </c>
      <c r="D485" s="18">
        <v>46047.8180555556</v>
      </c>
      <c r="E485" s="17">
        <v>299</v>
      </c>
      <c r="F485" s="17" t="s">
        <v>9</v>
      </c>
      <c r="G485" s="17" t="s">
        <v>10</v>
      </c>
      <c r="H485" s="17">
        <v>3</v>
      </c>
    </row>
    <row r="486" spans="1:8">
      <c r="A486" s="17" t="s">
        <v>499</v>
      </c>
      <c r="B486" s="17">
        <v>231</v>
      </c>
      <c r="C486" s="17">
        <v>32</v>
      </c>
      <c r="D486" s="18">
        <v>46043.3680555556</v>
      </c>
      <c r="E486" s="17">
        <v>299</v>
      </c>
      <c r="F486" s="17" t="s">
        <v>12</v>
      </c>
      <c r="G486" s="17" t="s">
        <v>10</v>
      </c>
      <c r="H486" s="17">
        <v>29</v>
      </c>
    </row>
    <row r="487" spans="1:8">
      <c r="A487" s="17" t="s">
        <v>500</v>
      </c>
      <c r="B487" s="17">
        <v>222</v>
      </c>
      <c r="C487" s="17">
        <v>12</v>
      </c>
      <c r="D487" s="18">
        <v>46034.725</v>
      </c>
      <c r="E487" s="17">
        <v>499</v>
      </c>
      <c r="F487" s="17" t="s">
        <v>9</v>
      </c>
      <c r="G487" s="17" t="s">
        <v>25</v>
      </c>
      <c r="H487" s="17">
        <v>87</v>
      </c>
    </row>
    <row r="488" spans="1:8">
      <c r="A488" s="17" t="s">
        <v>501</v>
      </c>
      <c r="B488" s="17">
        <v>44</v>
      </c>
      <c r="C488" s="17">
        <v>40</v>
      </c>
      <c r="D488" s="18">
        <v>46041.8916666667</v>
      </c>
      <c r="E488" s="17">
        <v>499</v>
      </c>
      <c r="F488" s="17" t="s">
        <v>12</v>
      </c>
      <c r="G488" s="17" t="s">
        <v>10</v>
      </c>
      <c r="H488" s="17">
        <v>37</v>
      </c>
    </row>
    <row r="489" spans="1:8">
      <c r="A489" s="17" t="s">
        <v>502</v>
      </c>
      <c r="B489" s="17">
        <v>38</v>
      </c>
      <c r="C489" s="17">
        <v>6</v>
      </c>
      <c r="D489" s="18">
        <v>46048.3229166667</v>
      </c>
      <c r="E489" s="17">
        <v>49</v>
      </c>
      <c r="F489" s="17" t="s">
        <v>9</v>
      </c>
      <c r="G489" s="17" t="s">
        <v>10</v>
      </c>
      <c r="H489" s="17">
        <v>34</v>
      </c>
    </row>
    <row r="490" spans="1:8">
      <c r="A490" s="17" t="s">
        <v>503</v>
      </c>
      <c r="B490" s="17">
        <v>325</v>
      </c>
      <c r="C490" s="17">
        <v>10</v>
      </c>
      <c r="D490" s="18">
        <v>46027.53125</v>
      </c>
      <c r="E490" s="17">
        <v>49</v>
      </c>
      <c r="F490" s="17" t="s">
        <v>15</v>
      </c>
      <c r="G490" s="17" t="s">
        <v>38</v>
      </c>
      <c r="H490" s="17">
        <v>94</v>
      </c>
    </row>
    <row r="491" spans="1:8">
      <c r="A491" s="17" t="s">
        <v>504</v>
      </c>
      <c r="B491" s="17">
        <v>55</v>
      </c>
      <c r="C491" s="17">
        <v>6</v>
      </c>
      <c r="D491" s="18">
        <v>46035.4326388889</v>
      </c>
      <c r="E491" s="17">
        <v>1499</v>
      </c>
      <c r="F491" s="17" t="s">
        <v>24</v>
      </c>
      <c r="G491" s="17" t="s">
        <v>10</v>
      </c>
      <c r="H491" s="17">
        <v>0</v>
      </c>
    </row>
    <row r="492" spans="1:8">
      <c r="A492" s="17" t="s">
        <v>505</v>
      </c>
      <c r="B492" s="17">
        <v>139</v>
      </c>
      <c r="C492" s="17">
        <v>7</v>
      </c>
      <c r="D492" s="18">
        <v>46032.5993055556</v>
      </c>
      <c r="E492" s="17">
        <v>499</v>
      </c>
      <c r="F492" s="17" t="s">
        <v>24</v>
      </c>
      <c r="G492" s="17" t="s">
        <v>10</v>
      </c>
      <c r="H492" s="17">
        <v>16</v>
      </c>
    </row>
    <row r="493" spans="1:8">
      <c r="A493" s="17" t="s">
        <v>506</v>
      </c>
      <c r="B493" s="17">
        <v>230</v>
      </c>
      <c r="C493" s="17">
        <v>36</v>
      </c>
      <c r="D493" s="18">
        <v>46025.2270833333</v>
      </c>
      <c r="E493" s="17">
        <v>99</v>
      </c>
      <c r="F493" s="17" t="s">
        <v>9</v>
      </c>
      <c r="G493" s="17" t="s">
        <v>10</v>
      </c>
      <c r="H493" s="17">
        <v>71</v>
      </c>
    </row>
    <row r="494" spans="1:8">
      <c r="A494" s="17" t="s">
        <v>507</v>
      </c>
      <c r="B494" s="17">
        <v>14</v>
      </c>
      <c r="C494" s="17">
        <v>6</v>
      </c>
      <c r="D494" s="18">
        <v>46039.5458333333</v>
      </c>
      <c r="E494" s="17">
        <v>799</v>
      </c>
      <c r="F494" s="17" t="s">
        <v>24</v>
      </c>
      <c r="G494" s="17" t="s">
        <v>10</v>
      </c>
      <c r="H494" s="17">
        <v>45</v>
      </c>
    </row>
    <row r="495" spans="1:8">
      <c r="A495" s="17" t="s">
        <v>508</v>
      </c>
      <c r="B495" s="17">
        <v>307</v>
      </c>
      <c r="C495" s="17">
        <v>21</v>
      </c>
      <c r="D495" s="18">
        <v>46040.1097222222</v>
      </c>
      <c r="E495" s="17">
        <v>799</v>
      </c>
      <c r="F495" s="17" t="s">
        <v>12</v>
      </c>
      <c r="G495" s="17" t="s">
        <v>10</v>
      </c>
      <c r="H495" s="17">
        <v>49</v>
      </c>
    </row>
    <row r="496" spans="1:8">
      <c r="A496" s="17" t="s">
        <v>509</v>
      </c>
      <c r="B496" s="17">
        <v>199</v>
      </c>
      <c r="C496" s="17">
        <v>6</v>
      </c>
      <c r="D496" s="18">
        <v>46023.3930555556</v>
      </c>
      <c r="E496" s="17">
        <v>49</v>
      </c>
      <c r="F496" s="17" t="s">
        <v>12</v>
      </c>
      <c r="G496" s="17" t="s">
        <v>10</v>
      </c>
      <c r="H496" s="17">
        <v>92</v>
      </c>
    </row>
    <row r="497" spans="1:8">
      <c r="A497" s="17" t="s">
        <v>510</v>
      </c>
      <c r="B497" s="17">
        <v>125</v>
      </c>
      <c r="C497" s="17">
        <v>37</v>
      </c>
      <c r="D497" s="18">
        <v>46051.7479166667</v>
      </c>
      <c r="E497" s="17">
        <v>149</v>
      </c>
      <c r="F497" s="17" t="s">
        <v>9</v>
      </c>
      <c r="G497" s="17" t="s">
        <v>10</v>
      </c>
      <c r="H497" s="17">
        <v>66</v>
      </c>
    </row>
    <row r="498" spans="1:8">
      <c r="A498" s="17" t="s">
        <v>511</v>
      </c>
      <c r="B498" s="17">
        <v>87</v>
      </c>
      <c r="C498" s="17">
        <v>9</v>
      </c>
      <c r="D498" s="18">
        <v>46028.8916666667</v>
      </c>
      <c r="E498" s="17">
        <v>149</v>
      </c>
      <c r="F498" s="17" t="s">
        <v>12</v>
      </c>
      <c r="G498" s="17" t="s">
        <v>10</v>
      </c>
      <c r="H498" s="17">
        <v>34</v>
      </c>
    </row>
    <row r="499" spans="1:8">
      <c r="A499" s="17" t="s">
        <v>512</v>
      </c>
      <c r="B499" s="17">
        <v>75</v>
      </c>
      <c r="C499" s="17">
        <v>5</v>
      </c>
      <c r="D499" s="18">
        <v>46032.3548611111</v>
      </c>
      <c r="E499" s="17">
        <v>99</v>
      </c>
      <c r="F499" s="17" t="s">
        <v>12</v>
      </c>
      <c r="G499" s="17" t="s">
        <v>10</v>
      </c>
      <c r="H499" s="17">
        <v>21</v>
      </c>
    </row>
    <row r="500" spans="1:8">
      <c r="A500" s="17" t="s">
        <v>513</v>
      </c>
      <c r="B500" s="17">
        <v>154</v>
      </c>
      <c r="C500" s="17">
        <v>31</v>
      </c>
      <c r="D500" s="18">
        <v>46036.3513888889</v>
      </c>
      <c r="E500" s="17">
        <v>499</v>
      </c>
      <c r="F500" s="17" t="s">
        <v>9</v>
      </c>
      <c r="G500" s="17" t="s">
        <v>10</v>
      </c>
      <c r="H500" s="17">
        <v>100</v>
      </c>
    </row>
    <row r="501" spans="1:8">
      <c r="A501" s="17" t="s">
        <v>514</v>
      </c>
      <c r="B501" s="17">
        <v>127</v>
      </c>
      <c r="C501" s="17">
        <v>32</v>
      </c>
      <c r="D501" s="18">
        <v>46025.4694444444</v>
      </c>
      <c r="E501" s="17">
        <v>149</v>
      </c>
      <c r="F501" s="17" t="s">
        <v>24</v>
      </c>
      <c r="G501" s="17" t="s">
        <v>10</v>
      </c>
      <c r="H501" s="17">
        <v>76</v>
      </c>
    </row>
    <row r="502" spans="1:8">
      <c r="A502" s="17" t="s">
        <v>515</v>
      </c>
      <c r="B502" s="17">
        <v>351</v>
      </c>
      <c r="C502" s="17">
        <v>7</v>
      </c>
      <c r="D502" s="18">
        <v>46052.25</v>
      </c>
      <c r="E502" s="17">
        <v>1999</v>
      </c>
      <c r="F502" s="17" t="s">
        <v>24</v>
      </c>
      <c r="G502" s="17" t="s">
        <v>38</v>
      </c>
      <c r="H502" s="17">
        <v>79</v>
      </c>
    </row>
    <row r="503" spans="1:8">
      <c r="A503" s="17" t="s">
        <v>516</v>
      </c>
      <c r="B503" s="17">
        <v>352</v>
      </c>
      <c r="C503" s="17">
        <v>40</v>
      </c>
      <c r="D503" s="18">
        <v>46033.5</v>
      </c>
      <c r="E503" s="17">
        <v>4999</v>
      </c>
      <c r="F503" s="17" t="s">
        <v>24</v>
      </c>
      <c r="G503" s="17" t="s">
        <v>38</v>
      </c>
      <c r="H503" s="17">
        <v>95</v>
      </c>
    </row>
    <row r="504" spans="1:8">
      <c r="A504" s="17" t="s">
        <v>517</v>
      </c>
      <c r="B504" s="17">
        <v>353</v>
      </c>
      <c r="C504" s="17">
        <v>28</v>
      </c>
      <c r="D504" s="18">
        <v>46043.5833333333</v>
      </c>
      <c r="E504" s="17">
        <v>1999</v>
      </c>
      <c r="F504" s="17" t="s">
        <v>24</v>
      </c>
      <c r="G504" s="17" t="s">
        <v>38</v>
      </c>
      <c r="H504" s="17">
        <v>79</v>
      </c>
    </row>
    <row r="505" spans="1:8">
      <c r="A505" s="17" t="s">
        <v>518</v>
      </c>
      <c r="B505" s="17">
        <v>354</v>
      </c>
      <c r="C505" s="17">
        <v>13</v>
      </c>
      <c r="D505" s="18">
        <v>46043.7916666667</v>
      </c>
      <c r="E505" s="17">
        <v>4999</v>
      </c>
      <c r="F505" s="17" t="s">
        <v>24</v>
      </c>
      <c r="G505" s="17" t="s">
        <v>38</v>
      </c>
      <c r="H505" s="17">
        <v>80</v>
      </c>
    </row>
    <row r="506" spans="1:8">
      <c r="A506" s="17" t="s">
        <v>519</v>
      </c>
      <c r="B506" s="17">
        <v>355</v>
      </c>
      <c r="C506" s="17">
        <v>19</v>
      </c>
      <c r="D506" s="18">
        <v>46038.5</v>
      </c>
      <c r="E506" s="17">
        <v>4999</v>
      </c>
      <c r="F506" s="17" t="s">
        <v>24</v>
      </c>
      <c r="G506" s="17" t="s">
        <v>38</v>
      </c>
      <c r="H506" s="17">
        <v>100</v>
      </c>
    </row>
    <row r="507" spans="1:8">
      <c r="A507" s="17" t="s">
        <v>520</v>
      </c>
      <c r="B507" s="17">
        <v>356</v>
      </c>
      <c r="C507" s="17">
        <v>25</v>
      </c>
      <c r="D507" s="18">
        <v>46051.2916666667</v>
      </c>
      <c r="E507" s="17">
        <v>2999</v>
      </c>
      <c r="F507" s="17" t="s">
        <v>24</v>
      </c>
      <c r="G507" s="17" t="s">
        <v>38</v>
      </c>
      <c r="H507" s="17">
        <v>96</v>
      </c>
    </row>
    <row r="508" spans="1:8">
      <c r="A508" s="17" t="s">
        <v>521</v>
      </c>
      <c r="B508" s="17">
        <v>357</v>
      </c>
      <c r="C508" s="17">
        <v>37</v>
      </c>
      <c r="D508" s="18">
        <v>46045.4583333333</v>
      </c>
      <c r="E508" s="17">
        <v>1999</v>
      </c>
      <c r="F508" s="17" t="s">
        <v>24</v>
      </c>
      <c r="G508" s="17" t="s">
        <v>38</v>
      </c>
      <c r="H508" s="17">
        <v>88</v>
      </c>
    </row>
    <row r="509" spans="1:8">
      <c r="A509" s="17" t="s">
        <v>522</v>
      </c>
      <c r="B509" s="17">
        <v>358</v>
      </c>
      <c r="C509" s="17">
        <v>36</v>
      </c>
      <c r="D509" s="18">
        <v>46050.2083333333</v>
      </c>
      <c r="E509" s="17">
        <v>999</v>
      </c>
      <c r="F509" s="17" t="s">
        <v>24</v>
      </c>
      <c r="G509" s="17" t="s">
        <v>38</v>
      </c>
      <c r="H509" s="17">
        <v>100</v>
      </c>
    </row>
    <row r="510" spans="1:8">
      <c r="A510" s="17" t="s">
        <v>523</v>
      </c>
      <c r="B510" s="17">
        <v>359</v>
      </c>
      <c r="C510" s="17">
        <v>29</v>
      </c>
      <c r="D510" s="18">
        <v>46047.9166666667</v>
      </c>
      <c r="E510" s="17">
        <v>2999</v>
      </c>
      <c r="F510" s="17" t="s">
        <v>24</v>
      </c>
      <c r="G510" s="17" t="s">
        <v>38</v>
      </c>
      <c r="H510" s="17">
        <v>96</v>
      </c>
    </row>
    <row r="511" spans="1:8">
      <c r="A511" s="17" t="s">
        <v>524</v>
      </c>
      <c r="B511" s="17">
        <v>360</v>
      </c>
      <c r="C511" s="17">
        <v>32</v>
      </c>
      <c r="D511" s="18">
        <v>46035.5416666667</v>
      </c>
      <c r="E511" s="17">
        <v>1999</v>
      </c>
      <c r="F511" s="17" t="s">
        <v>24</v>
      </c>
      <c r="G511" s="17" t="s">
        <v>38</v>
      </c>
      <c r="H511" s="17">
        <v>90</v>
      </c>
    </row>
    <row r="512" spans="1:8">
      <c r="A512" s="17" t="s">
        <v>525</v>
      </c>
      <c r="B512" s="17">
        <v>361</v>
      </c>
      <c r="C512" s="17">
        <v>10</v>
      </c>
      <c r="D512" s="18">
        <v>46042.2916666667</v>
      </c>
      <c r="E512" s="17">
        <v>4999</v>
      </c>
      <c r="F512" s="17" t="s">
        <v>24</v>
      </c>
      <c r="G512" s="17" t="s">
        <v>38</v>
      </c>
      <c r="H512" s="17">
        <v>95</v>
      </c>
    </row>
    <row r="513" spans="1:8">
      <c r="A513" s="17" t="s">
        <v>526</v>
      </c>
      <c r="B513" s="17">
        <v>362</v>
      </c>
      <c r="C513" s="17">
        <v>39</v>
      </c>
      <c r="D513" s="18">
        <v>46045.0833333333</v>
      </c>
      <c r="E513" s="17">
        <v>4999</v>
      </c>
      <c r="F513" s="17" t="s">
        <v>24</v>
      </c>
      <c r="G513" s="17" t="s">
        <v>38</v>
      </c>
      <c r="H513" s="17">
        <v>88</v>
      </c>
    </row>
    <row r="514" spans="1:8">
      <c r="A514" s="17" t="s">
        <v>527</v>
      </c>
      <c r="B514" s="17">
        <v>363</v>
      </c>
      <c r="C514" s="17">
        <v>27</v>
      </c>
      <c r="D514" s="18">
        <v>46045.7083333333</v>
      </c>
      <c r="E514" s="17">
        <v>999</v>
      </c>
      <c r="F514" s="17" t="s">
        <v>24</v>
      </c>
      <c r="G514" s="17" t="s">
        <v>38</v>
      </c>
      <c r="H514" s="17">
        <v>95</v>
      </c>
    </row>
    <row r="515" spans="1:8">
      <c r="A515" s="17" t="s">
        <v>528</v>
      </c>
      <c r="B515" s="17">
        <v>364</v>
      </c>
      <c r="C515" s="17">
        <v>39</v>
      </c>
      <c r="D515" s="18">
        <v>46044.9166666667</v>
      </c>
      <c r="E515" s="17">
        <v>999</v>
      </c>
      <c r="F515" s="17" t="s">
        <v>24</v>
      </c>
      <c r="G515" s="17" t="s">
        <v>38</v>
      </c>
      <c r="H515" s="17">
        <v>73</v>
      </c>
    </row>
    <row r="516" spans="1:8">
      <c r="A516" s="17" t="s">
        <v>529</v>
      </c>
      <c r="B516" s="17">
        <v>365</v>
      </c>
      <c r="C516" s="17">
        <v>23</v>
      </c>
      <c r="D516" s="18">
        <v>46040.875</v>
      </c>
      <c r="E516" s="17">
        <v>1999</v>
      </c>
      <c r="F516" s="17" t="s">
        <v>24</v>
      </c>
      <c r="G516" s="17" t="s">
        <v>38</v>
      </c>
      <c r="H516" s="17">
        <v>90</v>
      </c>
    </row>
    <row r="517" spans="1:8">
      <c r="A517" s="17" t="s">
        <v>530</v>
      </c>
      <c r="B517" s="17">
        <v>314</v>
      </c>
      <c r="C517" s="17">
        <v>26</v>
      </c>
      <c r="D517" s="18">
        <v>46024.75</v>
      </c>
      <c r="E517" s="17">
        <v>399</v>
      </c>
      <c r="F517" s="17" t="s">
        <v>24</v>
      </c>
      <c r="G517" s="17" t="s">
        <v>25</v>
      </c>
      <c r="H517" s="17">
        <v>87</v>
      </c>
    </row>
    <row r="518" spans="1:8">
      <c r="A518" s="17" t="s">
        <v>531</v>
      </c>
      <c r="B518" s="17">
        <v>314</v>
      </c>
      <c r="C518" s="17">
        <v>7</v>
      </c>
      <c r="D518" s="18">
        <v>46024.7506944444</v>
      </c>
      <c r="E518" s="17">
        <v>299</v>
      </c>
      <c r="F518" s="17" t="s">
        <v>24</v>
      </c>
      <c r="G518" s="17" t="s">
        <v>25</v>
      </c>
      <c r="H518" s="17">
        <v>66</v>
      </c>
    </row>
    <row r="519" spans="1:8">
      <c r="A519" s="17" t="s">
        <v>532</v>
      </c>
      <c r="B519" s="17">
        <v>314</v>
      </c>
      <c r="C519" s="17">
        <v>17</v>
      </c>
      <c r="D519" s="18">
        <v>46024.7513888889</v>
      </c>
      <c r="E519" s="17">
        <v>299</v>
      </c>
      <c r="F519" s="17" t="s">
        <v>24</v>
      </c>
      <c r="G519" s="17" t="s">
        <v>25</v>
      </c>
      <c r="H519" s="17">
        <v>92</v>
      </c>
    </row>
    <row r="520" spans="1:8">
      <c r="A520" s="17" t="s">
        <v>533</v>
      </c>
      <c r="B520" s="17">
        <v>314</v>
      </c>
      <c r="C520" s="17">
        <v>34</v>
      </c>
      <c r="D520" s="18">
        <v>46024.7520833333</v>
      </c>
      <c r="E520" s="17">
        <v>499</v>
      </c>
      <c r="F520" s="17" t="s">
        <v>24</v>
      </c>
      <c r="G520" s="17" t="s">
        <v>10</v>
      </c>
      <c r="H520" s="17">
        <v>74</v>
      </c>
    </row>
    <row r="521" spans="1:8">
      <c r="A521" s="17" t="s">
        <v>534</v>
      </c>
      <c r="B521" s="17">
        <v>229</v>
      </c>
      <c r="C521" s="17">
        <v>30</v>
      </c>
      <c r="D521" s="18">
        <v>46034.5</v>
      </c>
      <c r="E521" s="17">
        <v>499</v>
      </c>
      <c r="F521" s="17" t="s">
        <v>24</v>
      </c>
      <c r="G521" s="17" t="s">
        <v>25</v>
      </c>
      <c r="H521" s="17">
        <v>92</v>
      </c>
    </row>
    <row r="522" spans="1:8">
      <c r="A522" s="17" t="s">
        <v>535</v>
      </c>
      <c r="B522" s="17">
        <v>229</v>
      </c>
      <c r="C522" s="17">
        <v>10</v>
      </c>
      <c r="D522" s="18">
        <v>46034.5006944444</v>
      </c>
      <c r="E522" s="17">
        <v>399</v>
      </c>
      <c r="F522" s="17" t="s">
        <v>24</v>
      </c>
      <c r="G522" s="17" t="s">
        <v>25</v>
      </c>
      <c r="H522" s="17">
        <v>61</v>
      </c>
    </row>
    <row r="523" spans="1:8">
      <c r="A523" s="17" t="s">
        <v>536</v>
      </c>
      <c r="B523" s="17">
        <v>229</v>
      </c>
      <c r="C523" s="17">
        <v>31</v>
      </c>
      <c r="D523" s="18">
        <v>46034.5013888889</v>
      </c>
      <c r="E523" s="17">
        <v>299</v>
      </c>
      <c r="F523" s="17" t="s">
        <v>24</v>
      </c>
      <c r="G523" s="17" t="s">
        <v>25</v>
      </c>
      <c r="H523" s="17">
        <v>78</v>
      </c>
    </row>
    <row r="524" spans="1:8">
      <c r="A524" s="17" t="s">
        <v>537</v>
      </c>
      <c r="B524" s="17">
        <v>229</v>
      </c>
      <c r="C524" s="17">
        <v>27</v>
      </c>
      <c r="D524" s="18">
        <v>46034.5020833333</v>
      </c>
      <c r="E524" s="17">
        <v>299</v>
      </c>
      <c r="F524" s="17" t="s">
        <v>24</v>
      </c>
      <c r="G524" s="17" t="s">
        <v>10</v>
      </c>
      <c r="H524" s="17">
        <v>67</v>
      </c>
    </row>
    <row r="525" spans="1:8">
      <c r="A525" s="17" t="s">
        <v>538</v>
      </c>
      <c r="B525" s="17">
        <v>73</v>
      </c>
      <c r="C525" s="17">
        <v>22</v>
      </c>
      <c r="D525" s="18">
        <v>46034.375</v>
      </c>
      <c r="E525" s="17">
        <v>399</v>
      </c>
      <c r="F525" s="17" t="s">
        <v>24</v>
      </c>
      <c r="G525" s="17" t="s">
        <v>25</v>
      </c>
      <c r="H525" s="17">
        <v>73</v>
      </c>
    </row>
    <row r="526" spans="1:8">
      <c r="A526" s="17" t="s">
        <v>539</v>
      </c>
      <c r="B526" s="17">
        <v>73</v>
      </c>
      <c r="C526" s="17">
        <v>34</v>
      </c>
      <c r="D526" s="18">
        <v>46034.3756944444</v>
      </c>
      <c r="E526" s="17">
        <v>399</v>
      </c>
      <c r="F526" s="17" t="s">
        <v>24</v>
      </c>
      <c r="G526" s="17" t="s">
        <v>25</v>
      </c>
      <c r="H526" s="17">
        <v>82</v>
      </c>
    </row>
    <row r="527" spans="1:8">
      <c r="A527" s="17" t="s">
        <v>540</v>
      </c>
      <c r="B527" s="17">
        <v>73</v>
      </c>
      <c r="C527" s="17">
        <v>31</v>
      </c>
      <c r="D527" s="18">
        <v>46034.3763888889</v>
      </c>
      <c r="E527" s="17">
        <v>299</v>
      </c>
      <c r="F527" s="17" t="s">
        <v>24</v>
      </c>
      <c r="G527" s="17" t="s">
        <v>25</v>
      </c>
      <c r="H527" s="17">
        <v>88</v>
      </c>
    </row>
    <row r="528" spans="1:8">
      <c r="A528" s="17" t="s">
        <v>541</v>
      </c>
      <c r="B528" s="17">
        <v>73</v>
      </c>
      <c r="C528" s="17">
        <v>29</v>
      </c>
      <c r="D528" s="18">
        <v>46034.3770833333</v>
      </c>
      <c r="E528" s="17">
        <v>399</v>
      </c>
      <c r="F528" s="17" t="s">
        <v>24</v>
      </c>
      <c r="G528" s="17" t="s">
        <v>10</v>
      </c>
      <c r="H528" s="17">
        <v>64</v>
      </c>
    </row>
    <row r="529" spans="1:8">
      <c r="A529" s="17" t="s">
        <v>542</v>
      </c>
      <c r="B529" s="17">
        <v>154</v>
      </c>
      <c r="C529" s="17">
        <v>8</v>
      </c>
      <c r="D529" s="18">
        <v>46024.9166666667</v>
      </c>
      <c r="E529" s="17">
        <v>299</v>
      </c>
      <c r="F529" s="17" t="s">
        <v>24</v>
      </c>
      <c r="G529" s="17" t="s">
        <v>25</v>
      </c>
      <c r="H529" s="17">
        <v>81</v>
      </c>
    </row>
    <row r="530" spans="1:8">
      <c r="A530" s="17" t="s">
        <v>543</v>
      </c>
      <c r="B530" s="17">
        <v>154</v>
      </c>
      <c r="C530" s="17">
        <v>7</v>
      </c>
      <c r="D530" s="18">
        <v>46024.9173611111</v>
      </c>
      <c r="E530" s="17">
        <v>499</v>
      </c>
      <c r="F530" s="17" t="s">
        <v>24</v>
      </c>
      <c r="G530" s="17" t="s">
        <v>25</v>
      </c>
      <c r="H530" s="17">
        <v>70</v>
      </c>
    </row>
    <row r="531" spans="1:8">
      <c r="A531" s="17" t="s">
        <v>544</v>
      </c>
      <c r="B531" s="17">
        <v>154</v>
      </c>
      <c r="C531" s="17">
        <v>16</v>
      </c>
      <c r="D531" s="18">
        <v>46024.9180555556</v>
      </c>
      <c r="E531" s="17">
        <v>499</v>
      </c>
      <c r="F531" s="17" t="s">
        <v>24</v>
      </c>
      <c r="G531" s="17" t="s">
        <v>25</v>
      </c>
      <c r="H531" s="17">
        <v>71</v>
      </c>
    </row>
    <row r="532" spans="1:8">
      <c r="A532" s="17" t="s">
        <v>545</v>
      </c>
      <c r="B532" s="17">
        <v>154</v>
      </c>
      <c r="C532" s="17">
        <v>36</v>
      </c>
      <c r="D532" s="18">
        <v>46024.91875</v>
      </c>
      <c r="E532" s="17">
        <v>299</v>
      </c>
      <c r="F532" s="17" t="s">
        <v>24</v>
      </c>
      <c r="G532" s="17" t="s">
        <v>10</v>
      </c>
      <c r="H532" s="17">
        <v>81</v>
      </c>
    </row>
    <row r="533" spans="1:8">
      <c r="A533" s="17" t="s">
        <v>546</v>
      </c>
      <c r="B533" s="17">
        <v>287</v>
      </c>
      <c r="C533" s="17">
        <v>15</v>
      </c>
      <c r="D533" s="18">
        <v>46036.5833333333</v>
      </c>
      <c r="E533" s="17">
        <v>399</v>
      </c>
      <c r="F533" s="17" t="s">
        <v>24</v>
      </c>
      <c r="G533" s="17" t="s">
        <v>25</v>
      </c>
      <c r="H533" s="17">
        <v>71</v>
      </c>
    </row>
    <row r="534" spans="1:8">
      <c r="A534" s="17" t="s">
        <v>547</v>
      </c>
      <c r="B534" s="17">
        <v>287</v>
      </c>
      <c r="C534" s="17">
        <v>12</v>
      </c>
      <c r="D534" s="18">
        <v>46036.5840277778</v>
      </c>
      <c r="E534" s="17">
        <v>499</v>
      </c>
      <c r="F534" s="17" t="s">
        <v>24</v>
      </c>
      <c r="G534" s="17" t="s">
        <v>25</v>
      </c>
      <c r="H534" s="17">
        <v>87</v>
      </c>
    </row>
    <row r="535" spans="1:8">
      <c r="A535" s="17" t="s">
        <v>548</v>
      </c>
      <c r="B535" s="17">
        <v>287</v>
      </c>
      <c r="C535" s="17">
        <v>26</v>
      </c>
      <c r="D535" s="18">
        <v>46036.5847222222</v>
      </c>
      <c r="E535" s="17">
        <v>299</v>
      </c>
      <c r="F535" s="17" t="s">
        <v>24</v>
      </c>
      <c r="G535" s="17" t="s">
        <v>25</v>
      </c>
      <c r="H535" s="17">
        <v>72</v>
      </c>
    </row>
    <row r="536" spans="1:8">
      <c r="A536" s="17" t="s">
        <v>549</v>
      </c>
      <c r="B536" s="17">
        <v>287</v>
      </c>
      <c r="C536" s="17">
        <v>29</v>
      </c>
      <c r="D536" s="18">
        <v>46036.5854166667</v>
      </c>
      <c r="E536" s="17">
        <v>499</v>
      </c>
      <c r="F536" s="17" t="s">
        <v>24</v>
      </c>
      <c r="G536" s="17" t="s">
        <v>10</v>
      </c>
      <c r="H536" s="17">
        <v>87</v>
      </c>
    </row>
    <row r="537" spans="1:8">
      <c r="A537" s="17" t="s">
        <v>550</v>
      </c>
      <c r="B537" s="17">
        <v>200</v>
      </c>
      <c r="C537" s="17">
        <v>14</v>
      </c>
      <c r="D537" s="18">
        <v>46023.9166666667</v>
      </c>
      <c r="E537" s="17">
        <v>299</v>
      </c>
      <c r="F537" s="17" t="s">
        <v>24</v>
      </c>
      <c r="G537" s="17" t="s">
        <v>25</v>
      </c>
      <c r="H537" s="17">
        <v>77</v>
      </c>
    </row>
    <row r="538" spans="1:8">
      <c r="A538" s="17" t="s">
        <v>551</v>
      </c>
      <c r="B538" s="17">
        <v>200</v>
      </c>
      <c r="C538" s="17">
        <v>5</v>
      </c>
      <c r="D538" s="18">
        <v>46023.9173611111</v>
      </c>
      <c r="E538" s="17">
        <v>499</v>
      </c>
      <c r="F538" s="17" t="s">
        <v>24</v>
      </c>
      <c r="G538" s="17" t="s">
        <v>25</v>
      </c>
      <c r="H538" s="17">
        <v>66</v>
      </c>
    </row>
    <row r="539" spans="1:8">
      <c r="A539" s="17" t="s">
        <v>552</v>
      </c>
      <c r="B539" s="17">
        <v>200</v>
      </c>
      <c r="C539" s="17">
        <v>35</v>
      </c>
      <c r="D539" s="18">
        <v>46023.9180555556</v>
      </c>
      <c r="E539" s="17">
        <v>299</v>
      </c>
      <c r="F539" s="17" t="s">
        <v>24</v>
      </c>
      <c r="G539" s="17" t="s">
        <v>25</v>
      </c>
      <c r="H539" s="17">
        <v>83</v>
      </c>
    </row>
    <row r="540" spans="1:8">
      <c r="A540" s="17" t="s">
        <v>553</v>
      </c>
      <c r="B540" s="17">
        <v>200</v>
      </c>
      <c r="C540" s="17">
        <v>21</v>
      </c>
      <c r="D540" s="18">
        <v>46023.91875</v>
      </c>
      <c r="E540" s="17">
        <v>299</v>
      </c>
      <c r="F540" s="17" t="s">
        <v>24</v>
      </c>
      <c r="G540" s="17" t="s">
        <v>10</v>
      </c>
      <c r="H540" s="17">
        <v>89</v>
      </c>
    </row>
    <row r="541" spans="1:8">
      <c r="A541" s="17" t="s">
        <v>554</v>
      </c>
      <c r="B541" s="17">
        <v>59</v>
      </c>
      <c r="C541" s="17">
        <v>32</v>
      </c>
      <c r="D541" s="18">
        <v>46031.875</v>
      </c>
      <c r="E541" s="17">
        <v>499</v>
      </c>
      <c r="F541" s="17" t="s">
        <v>24</v>
      </c>
      <c r="G541" s="17" t="s">
        <v>25</v>
      </c>
      <c r="H541" s="17">
        <v>80</v>
      </c>
    </row>
    <row r="542" spans="1:8">
      <c r="A542" s="17" t="s">
        <v>555</v>
      </c>
      <c r="B542" s="17">
        <v>59</v>
      </c>
      <c r="C542" s="17">
        <v>39</v>
      </c>
      <c r="D542" s="18">
        <v>46031.8756944444</v>
      </c>
      <c r="E542" s="17">
        <v>399</v>
      </c>
      <c r="F542" s="17" t="s">
        <v>24</v>
      </c>
      <c r="G542" s="17" t="s">
        <v>25</v>
      </c>
      <c r="H542" s="17">
        <v>85</v>
      </c>
    </row>
    <row r="543" spans="1:8">
      <c r="A543" s="17" t="s">
        <v>556</v>
      </c>
      <c r="B543" s="17">
        <v>59</v>
      </c>
      <c r="C543" s="17">
        <v>38</v>
      </c>
      <c r="D543" s="18">
        <v>46031.8763888889</v>
      </c>
      <c r="E543" s="17">
        <v>299</v>
      </c>
      <c r="F543" s="17" t="s">
        <v>24</v>
      </c>
      <c r="G543" s="17" t="s">
        <v>25</v>
      </c>
      <c r="H543" s="17">
        <v>82</v>
      </c>
    </row>
    <row r="544" spans="1:8">
      <c r="A544" s="17" t="s">
        <v>557</v>
      </c>
      <c r="B544" s="17">
        <v>59</v>
      </c>
      <c r="C544" s="17">
        <v>23</v>
      </c>
      <c r="D544" s="18">
        <v>46031.8770833333</v>
      </c>
      <c r="E544" s="17">
        <v>399</v>
      </c>
      <c r="F544" s="17" t="s">
        <v>24</v>
      </c>
      <c r="G544" s="17" t="s">
        <v>10</v>
      </c>
      <c r="H544" s="17">
        <v>71</v>
      </c>
    </row>
    <row r="545" spans="1:8">
      <c r="A545" s="17" t="s">
        <v>558</v>
      </c>
      <c r="B545" s="17">
        <v>345</v>
      </c>
      <c r="C545" s="17">
        <v>40</v>
      </c>
      <c r="D545" s="18">
        <v>46045.375</v>
      </c>
      <c r="E545" s="17">
        <v>499</v>
      </c>
      <c r="F545" s="17" t="s">
        <v>24</v>
      </c>
      <c r="G545" s="17" t="s">
        <v>25</v>
      </c>
      <c r="H545" s="17">
        <v>65</v>
      </c>
    </row>
    <row r="546" spans="1:8">
      <c r="A546" s="17" t="s">
        <v>559</v>
      </c>
      <c r="B546" s="17">
        <v>345</v>
      </c>
      <c r="C546" s="17">
        <v>9</v>
      </c>
      <c r="D546" s="18">
        <v>46045.3756944444</v>
      </c>
      <c r="E546" s="17">
        <v>399</v>
      </c>
      <c r="F546" s="17" t="s">
        <v>24</v>
      </c>
      <c r="G546" s="17" t="s">
        <v>25</v>
      </c>
      <c r="H546" s="17">
        <v>67</v>
      </c>
    </row>
    <row r="547" spans="1:8">
      <c r="A547" s="17" t="s">
        <v>560</v>
      </c>
      <c r="B547" s="17">
        <v>345</v>
      </c>
      <c r="C547" s="17">
        <v>16</v>
      </c>
      <c r="D547" s="18">
        <v>46045.3763888889</v>
      </c>
      <c r="E547" s="17">
        <v>399</v>
      </c>
      <c r="F547" s="17" t="s">
        <v>24</v>
      </c>
      <c r="G547" s="17" t="s">
        <v>25</v>
      </c>
      <c r="H547" s="17">
        <v>67</v>
      </c>
    </row>
    <row r="548" spans="1:8">
      <c r="A548" s="17" t="s">
        <v>561</v>
      </c>
      <c r="B548" s="17">
        <v>345</v>
      </c>
      <c r="C548" s="17">
        <v>12</v>
      </c>
      <c r="D548" s="18">
        <v>46045.3770833333</v>
      </c>
      <c r="E548" s="17">
        <v>399</v>
      </c>
      <c r="F548" s="17" t="s">
        <v>24</v>
      </c>
      <c r="G548" s="17" t="s">
        <v>10</v>
      </c>
      <c r="H548" s="17">
        <v>69</v>
      </c>
    </row>
  </sheetData>
  <autoFilter xmlns:etc="http://www.wps.cn/officeDocument/2017/etCustomData" ref="A1:H54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G29" sqref="G29"/>
    </sheetView>
  </sheetViews>
  <sheetFormatPr defaultColWidth="9" defaultRowHeight="16.8" outlineLevelCol="3"/>
  <cols>
    <col min="1" max="1" width="11.375" customWidth="1"/>
    <col min="2" max="2" width="14.625" customWidth="1"/>
    <col min="3" max="3" width="12.625" customWidth="1"/>
    <col min="4" max="4" width="6.375" customWidth="1"/>
  </cols>
  <sheetData>
    <row r="1" spans="1:4">
      <c r="A1" s="15" t="s">
        <v>2</v>
      </c>
      <c r="B1" s="15" t="s">
        <v>562</v>
      </c>
      <c r="C1" s="15" t="s">
        <v>563</v>
      </c>
      <c r="D1" s="15" t="s">
        <v>564</v>
      </c>
    </row>
    <row r="2" spans="1:4">
      <c r="A2" s="17">
        <v>1</v>
      </c>
      <c r="B2" s="17" t="s">
        <v>565</v>
      </c>
      <c r="C2" s="17" t="s">
        <v>566</v>
      </c>
      <c r="D2" s="17" t="s">
        <v>567</v>
      </c>
    </row>
    <row r="3" spans="1:4">
      <c r="A3" s="17">
        <v>2</v>
      </c>
      <c r="B3" s="17" t="s">
        <v>568</v>
      </c>
      <c r="C3" s="17" t="s">
        <v>569</v>
      </c>
      <c r="D3" s="17" t="s">
        <v>570</v>
      </c>
    </row>
    <row r="4" spans="1:4">
      <c r="A4" s="17">
        <v>3</v>
      </c>
      <c r="B4" s="17" t="s">
        <v>571</v>
      </c>
      <c r="C4" s="17" t="s">
        <v>569</v>
      </c>
      <c r="D4" s="17" t="s">
        <v>572</v>
      </c>
    </row>
    <row r="5" spans="1:4">
      <c r="A5" s="17">
        <v>4</v>
      </c>
      <c r="B5" s="17" t="s">
        <v>573</v>
      </c>
      <c r="C5" s="17" t="s">
        <v>566</v>
      </c>
      <c r="D5" s="17" t="s">
        <v>572</v>
      </c>
    </row>
    <row r="6" spans="1:4">
      <c r="A6" s="17">
        <v>5</v>
      </c>
      <c r="B6" s="17" t="s">
        <v>574</v>
      </c>
      <c r="C6" s="17" t="s">
        <v>575</v>
      </c>
      <c r="D6" s="17" t="s">
        <v>567</v>
      </c>
    </row>
    <row r="7" spans="1:4">
      <c r="A7" s="17">
        <v>6</v>
      </c>
      <c r="B7" s="17" t="s">
        <v>576</v>
      </c>
      <c r="C7" s="17" t="s">
        <v>577</v>
      </c>
      <c r="D7" s="17" t="s">
        <v>567</v>
      </c>
    </row>
    <row r="8" spans="1:4">
      <c r="A8" s="17">
        <v>7</v>
      </c>
      <c r="B8" s="17" t="s">
        <v>578</v>
      </c>
      <c r="C8" s="17" t="s">
        <v>577</v>
      </c>
      <c r="D8" s="17" t="s">
        <v>572</v>
      </c>
    </row>
    <row r="9" spans="1:4">
      <c r="A9" s="17">
        <v>8</v>
      </c>
      <c r="B9" s="17" t="s">
        <v>579</v>
      </c>
      <c r="C9" s="17" t="s">
        <v>577</v>
      </c>
      <c r="D9" s="17" t="s">
        <v>580</v>
      </c>
    </row>
    <row r="10" spans="1:4">
      <c r="A10" s="17">
        <v>9</v>
      </c>
      <c r="B10" s="17" t="s">
        <v>581</v>
      </c>
      <c r="C10" s="17" t="s">
        <v>566</v>
      </c>
      <c r="D10" s="17" t="s">
        <v>580</v>
      </c>
    </row>
    <row r="11" spans="1:4">
      <c r="A11" s="17">
        <v>10</v>
      </c>
      <c r="B11" s="17" t="s">
        <v>582</v>
      </c>
      <c r="C11" s="17" t="s">
        <v>569</v>
      </c>
      <c r="D11" s="17" t="s">
        <v>570</v>
      </c>
    </row>
    <row r="12" spans="1:4">
      <c r="A12" s="17">
        <v>11</v>
      </c>
      <c r="B12" s="17" t="s">
        <v>583</v>
      </c>
      <c r="C12" s="17" t="s">
        <v>566</v>
      </c>
      <c r="D12" s="17" t="s">
        <v>580</v>
      </c>
    </row>
    <row r="13" spans="1:4">
      <c r="A13" s="17">
        <v>12</v>
      </c>
      <c r="B13" s="17" t="s">
        <v>584</v>
      </c>
      <c r="C13" s="17" t="s">
        <v>566</v>
      </c>
      <c r="D13" s="17" t="s">
        <v>572</v>
      </c>
    </row>
    <row r="14" spans="1:4">
      <c r="A14" s="17">
        <v>13</v>
      </c>
      <c r="B14" s="17" t="s">
        <v>585</v>
      </c>
      <c r="C14" s="17" t="s">
        <v>586</v>
      </c>
      <c r="D14" s="17" t="s">
        <v>572</v>
      </c>
    </row>
    <row r="15" spans="1:4">
      <c r="A15" s="17">
        <v>14</v>
      </c>
      <c r="B15" s="17" t="s">
        <v>587</v>
      </c>
      <c r="C15" s="17" t="s">
        <v>569</v>
      </c>
      <c r="D15" s="17" t="s">
        <v>572</v>
      </c>
    </row>
    <row r="16" spans="1:4">
      <c r="A16" s="17">
        <v>15</v>
      </c>
      <c r="B16" s="17" t="s">
        <v>588</v>
      </c>
      <c r="C16" s="17" t="s">
        <v>586</v>
      </c>
      <c r="D16" s="17" t="s">
        <v>580</v>
      </c>
    </row>
    <row r="17" spans="1:4">
      <c r="A17" s="17">
        <v>16</v>
      </c>
      <c r="B17" s="17" t="s">
        <v>589</v>
      </c>
      <c r="C17" s="17" t="s">
        <v>590</v>
      </c>
      <c r="D17" s="17" t="s">
        <v>570</v>
      </c>
    </row>
    <row r="18" spans="1:4">
      <c r="A18" s="17">
        <v>17</v>
      </c>
      <c r="B18" s="17" t="s">
        <v>591</v>
      </c>
      <c r="C18" s="17" t="s">
        <v>569</v>
      </c>
      <c r="D18" s="17" t="s">
        <v>580</v>
      </c>
    </row>
    <row r="19" spans="1:4">
      <c r="A19" s="17">
        <v>18</v>
      </c>
      <c r="B19" s="17" t="s">
        <v>592</v>
      </c>
      <c r="C19" s="17" t="s">
        <v>569</v>
      </c>
      <c r="D19" s="17" t="s">
        <v>570</v>
      </c>
    </row>
    <row r="20" spans="1:4">
      <c r="A20" s="17">
        <v>19</v>
      </c>
      <c r="B20" s="17" t="s">
        <v>593</v>
      </c>
      <c r="C20" s="17" t="s">
        <v>569</v>
      </c>
      <c r="D20" s="17" t="s">
        <v>580</v>
      </c>
    </row>
    <row r="21" spans="1:4">
      <c r="A21" s="17">
        <v>20</v>
      </c>
      <c r="B21" s="17" t="s">
        <v>594</v>
      </c>
      <c r="C21" s="17" t="s">
        <v>577</v>
      </c>
      <c r="D21" s="17" t="s">
        <v>572</v>
      </c>
    </row>
    <row r="22" spans="1:4">
      <c r="A22" s="17">
        <v>21</v>
      </c>
      <c r="B22" s="17" t="s">
        <v>595</v>
      </c>
      <c r="C22" s="17" t="s">
        <v>577</v>
      </c>
      <c r="D22" s="17" t="s">
        <v>572</v>
      </c>
    </row>
    <row r="23" spans="1:4">
      <c r="A23" s="17">
        <v>22</v>
      </c>
      <c r="B23" s="17" t="s">
        <v>596</v>
      </c>
      <c r="C23" s="17" t="s">
        <v>586</v>
      </c>
      <c r="D23" s="17" t="s">
        <v>567</v>
      </c>
    </row>
    <row r="24" spans="1:4">
      <c r="A24" s="17">
        <v>23</v>
      </c>
      <c r="B24" s="17" t="s">
        <v>597</v>
      </c>
      <c r="C24" s="17" t="s">
        <v>586</v>
      </c>
      <c r="D24" s="17" t="s">
        <v>580</v>
      </c>
    </row>
    <row r="25" spans="1:4">
      <c r="A25" s="17">
        <v>24</v>
      </c>
      <c r="B25" s="17" t="s">
        <v>598</v>
      </c>
      <c r="C25" s="17" t="s">
        <v>569</v>
      </c>
      <c r="D25" s="17" t="s">
        <v>580</v>
      </c>
    </row>
    <row r="26" spans="1:4">
      <c r="A26" s="17">
        <v>25</v>
      </c>
      <c r="B26" s="17" t="s">
        <v>599</v>
      </c>
      <c r="C26" s="17" t="s">
        <v>586</v>
      </c>
      <c r="D26" s="17" t="s">
        <v>567</v>
      </c>
    </row>
    <row r="27" spans="1:4">
      <c r="A27" s="17">
        <v>26</v>
      </c>
      <c r="B27" s="17" t="s">
        <v>600</v>
      </c>
      <c r="C27" s="17" t="s">
        <v>577</v>
      </c>
      <c r="D27" s="17" t="s">
        <v>572</v>
      </c>
    </row>
    <row r="28" spans="1:4">
      <c r="A28" s="17">
        <v>27</v>
      </c>
      <c r="B28" s="17" t="s">
        <v>601</v>
      </c>
      <c r="C28" s="17" t="s">
        <v>566</v>
      </c>
      <c r="D28" s="17" t="s">
        <v>580</v>
      </c>
    </row>
    <row r="29" spans="1:4">
      <c r="A29" s="17">
        <v>28</v>
      </c>
      <c r="B29" s="17" t="s">
        <v>602</v>
      </c>
      <c r="C29" s="17" t="s">
        <v>566</v>
      </c>
      <c r="D29" s="17" t="s">
        <v>567</v>
      </c>
    </row>
    <row r="30" spans="1:4">
      <c r="A30" s="17">
        <v>29</v>
      </c>
      <c r="B30" s="17" t="s">
        <v>603</v>
      </c>
      <c r="C30" s="17" t="s">
        <v>566</v>
      </c>
      <c r="D30" s="17" t="s">
        <v>580</v>
      </c>
    </row>
    <row r="31" spans="1:4">
      <c r="A31" s="17">
        <v>30</v>
      </c>
      <c r="B31" s="17" t="s">
        <v>604</v>
      </c>
      <c r="C31" s="17" t="s">
        <v>586</v>
      </c>
      <c r="D31" s="17" t="s">
        <v>570</v>
      </c>
    </row>
    <row r="32" spans="1:4">
      <c r="A32" s="17">
        <v>31</v>
      </c>
      <c r="B32" s="17" t="s">
        <v>605</v>
      </c>
      <c r="C32" s="17" t="s">
        <v>590</v>
      </c>
      <c r="D32" s="17" t="s">
        <v>572</v>
      </c>
    </row>
    <row r="33" spans="1:4">
      <c r="A33" s="17">
        <v>32</v>
      </c>
      <c r="B33" s="17" t="s">
        <v>606</v>
      </c>
      <c r="C33" s="17" t="s">
        <v>577</v>
      </c>
      <c r="D33" s="17" t="s">
        <v>570</v>
      </c>
    </row>
    <row r="34" spans="1:4">
      <c r="A34" s="17">
        <v>33</v>
      </c>
      <c r="B34" s="17" t="s">
        <v>607</v>
      </c>
      <c r="C34" s="17" t="s">
        <v>590</v>
      </c>
      <c r="D34" s="17" t="s">
        <v>572</v>
      </c>
    </row>
    <row r="35" spans="1:4">
      <c r="A35" s="17">
        <v>34</v>
      </c>
      <c r="B35" s="17" t="s">
        <v>608</v>
      </c>
      <c r="C35" s="17" t="s">
        <v>586</v>
      </c>
      <c r="D35" s="17" t="s">
        <v>567</v>
      </c>
    </row>
    <row r="36" spans="1:4">
      <c r="A36" s="17">
        <v>35</v>
      </c>
      <c r="B36" s="17" t="s">
        <v>609</v>
      </c>
      <c r="C36" s="17" t="s">
        <v>575</v>
      </c>
      <c r="D36" s="17" t="s">
        <v>572</v>
      </c>
    </row>
    <row r="37" spans="1:4">
      <c r="A37" s="17">
        <v>36</v>
      </c>
      <c r="B37" s="17" t="s">
        <v>610</v>
      </c>
      <c r="C37" s="17" t="s">
        <v>611</v>
      </c>
      <c r="D37" s="17" t="s">
        <v>572</v>
      </c>
    </row>
    <row r="38" spans="1:4">
      <c r="A38" s="17">
        <v>37</v>
      </c>
      <c r="B38" s="17" t="s">
        <v>612</v>
      </c>
      <c r="C38" s="17" t="s">
        <v>611</v>
      </c>
      <c r="D38" s="17" t="s">
        <v>567</v>
      </c>
    </row>
    <row r="39" spans="1:4">
      <c r="A39" s="17">
        <v>38</v>
      </c>
      <c r="B39" s="17" t="s">
        <v>613</v>
      </c>
      <c r="C39" s="17" t="s">
        <v>569</v>
      </c>
      <c r="D39" s="17" t="s">
        <v>572</v>
      </c>
    </row>
    <row r="40" spans="1:4">
      <c r="A40" s="17">
        <v>39</v>
      </c>
      <c r="B40" s="17" t="s">
        <v>614</v>
      </c>
      <c r="C40" s="17" t="s">
        <v>611</v>
      </c>
      <c r="D40" s="17" t="s">
        <v>580</v>
      </c>
    </row>
    <row r="41" spans="1:4">
      <c r="A41" s="17">
        <v>40</v>
      </c>
      <c r="B41" s="17" t="s">
        <v>615</v>
      </c>
      <c r="C41" s="17" t="s">
        <v>611</v>
      </c>
      <c r="D41" s="17" t="s">
        <v>567</v>
      </c>
    </row>
  </sheetData>
  <autoFilter xmlns:etc="http://www.wps.cn/officeDocument/2017/etCustomData" ref="A1:D4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2"/>
  <sheetViews>
    <sheetView workbookViewId="0">
      <selection activeCell="K24" sqref="K24"/>
    </sheetView>
  </sheetViews>
  <sheetFormatPr defaultColWidth="9" defaultRowHeight="16.8" outlineLevelRow="1" outlineLevelCol="5"/>
  <cols>
    <col min="2" max="2" width="14.53125" customWidth="1"/>
    <col min="6" max="6" width="11.5859375" customWidth="1"/>
  </cols>
  <sheetData>
    <row r="1" ht="34" spans="2:6">
      <c r="B1" s="21" t="s">
        <v>616</v>
      </c>
      <c r="C1" s="22" t="s">
        <v>12</v>
      </c>
      <c r="D1" s="22" t="s">
        <v>9</v>
      </c>
      <c r="E1" s="22" t="s">
        <v>24</v>
      </c>
      <c r="F1" s="22" t="s">
        <v>15</v>
      </c>
    </row>
    <row r="2" ht="17" spans="2:6">
      <c r="B2" s="23" t="s">
        <v>617</v>
      </c>
      <c r="C2" s="24">
        <v>0</v>
      </c>
      <c r="D2" s="24">
        <v>0.01</v>
      </c>
      <c r="E2" s="24">
        <v>0.02</v>
      </c>
      <c r="F2" s="24">
        <v>0.015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8"/>
  <sheetViews>
    <sheetView zoomScale="66" zoomScaleNormal="66" workbookViewId="0">
      <selection activeCell="A548" sqref="A2:A548"/>
    </sheetView>
  </sheetViews>
  <sheetFormatPr defaultColWidth="9" defaultRowHeight="16.8"/>
  <cols>
    <col min="1" max="1" width="13.75" customWidth="1"/>
    <col min="2" max="2" width="7.5625" customWidth="1"/>
    <col min="3" max="3" width="12.0625" customWidth="1"/>
    <col min="4" max="4" width="16.25" customWidth="1"/>
    <col min="5" max="5" width="11.0625" customWidth="1"/>
    <col min="6" max="6" width="16.625" customWidth="1"/>
    <col min="7" max="7" width="10.875" customWidth="1"/>
    <col min="8" max="8" width="10.125" customWidth="1"/>
    <col min="9" max="9" width="15.5625" customWidth="1"/>
    <col min="10" max="10" width="12.625" customWidth="1"/>
    <col min="11" max="11" width="14.0546875" customWidth="1"/>
    <col min="12" max="12" width="11.625" customWidth="1"/>
    <col min="13" max="13" width="10.6875"/>
    <col min="14" max="14" width="25.3125" customWidth="1"/>
    <col min="15" max="15" width="28.1875" customWidth="1"/>
    <col min="16" max="16" width="22.875" customWidth="1"/>
  </cols>
  <sheetData>
    <row r="1" ht="34" spans="1:1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562</v>
      </c>
      <c r="J1" s="15" t="s">
        <v>563</v>
      </c>
      <c r="K1" s="15" t="s">
        <v>564</v>
      </c>
      <c r="L1" s="15" t="s">
        <v>618</v>
      </c>
      <c r="M1" s="15" t="s">
        <v>619</v>
      </c>
      <c r="N1" s="16" t="s">
        <v>620</v>
      </c>
      <c r="O1" s="16" t="s">
        <v>621</v>
      </c>
      <c r="P1" s="15" t="s">
        <v>622</v>
      </c>
    </row>
    <row r="2" spans="1:16">
      <c r="A2" s="17" t="s">
        <v>8</v>
      </c>
      <c r="B2" s="17">
        <v>350</v>
      </c>
      <c r="C2" s="17">
        <v>16</v>
      </c>
      <c r="D2" s="18">
        <v>46051.4673611111</v>
      </c>
      <c r="E2" s="17">
        <v>2999</v>
      </c>
      <c r="F2" s="17" t="s">
        <v>9</v>
      </c>
      <c r="G2" s="17" t="s">
        <v>10</v>
      </c>
      <c r="H2" s="17">
        <v>85</v>
      </c>
      <c r="I2" s="17" t="str">
        <f>IFERROR(VLOOKUP(C2,Merchants!$A$2:$D$41,2,FALSE),"Merchant not found")</f>
        <v>Merchant_016</v>
      </c>
      <c r="J2" s="17" t="str">
        <f>IFERROR(VLOOKUP(C2,Merchants!$A$2:$D$41,3,FALSE),"Merchant not found")</f>
        <v>bill_payment</v>
      </c>
      <c r="K2" s="17" t="str">
        <f>IFERROR(VLOOKUP(C2,Merchants!$A$2:$D$41,4,FALSE),"Merchant not found")</f>
        <v>West</v>
      </c>
      <c r="L2" s="19">
        <f>_xlfn.IFNA(HLOOKUP(F2,'MDR Rates'!$C$1:$F$2,2,FALSE),"N/A")</f>
        <v>0.01</v>
      </c>
      <c r="M2" s="20">
        <f>INT(D2)</f>
        <v>46051</v>
      </c>
      <c r="N2" s="17">
        <f>SUMIFS($E$2:$E$548,$C$2:$C$548,C2,$M$2:$M$548,M2)</f>
        <v>2999</v>
      </c>
      <c r="O2" s="17">
        <f>GETPIVOTDATA("amount_inr",'Pivot Table'!$A$3,"merchant_name",I2,"Date",M2)</f>
        <v>2999</v>
      </c>
      <c r="P2" s="17" t="str">
        <f>IF(AND(O2&gt;5000,K2&lt;&gt;"East"),"High-Value Merchant Day","Standard")</f>
        <v>Standard</v>
      </c>
    </row>
    <row r="3" spans="1:16">
      <c r="A3" s="17" t="s">
        <v>11</v>
      </c>
      <c r="B3" s="17">
        <v>287</v>
      </c>
      <c r="C3" s="17">
        <v>27</v>
      </c>
      <c r="D3" s="18">
        <v>46026.4923611111</v>
      </c>
      <c r="E3" s="17">
        <v>49</v>
      </c>
      <c r="F3" s="17" t="s">
        <v>12</v>
      </c>
      <c r="G3" s="17" t="s">
        <v>10</v>
      </c>
      <c r="H3" s="17">
        <v>79</v>
      </c>
      <c r="I3" s="17" t="str">
        <f>IFERROR(VLOOKUP(C3,Merchants!$A$2:$D$41,2,FALSE),"Merchant not found")</f>
        <v>Merchant_027</v>
      </c>
      <c r="J3" s="17" t="str">
        <f>IFERROR(VLOOKUP(C3,Merchants!$A$2:$D$41,3,FALSE),"Merchant not found")</f>
        <v>ecommerce</v>
      </c>
      <c r="K3" s="17" t="str">
        <f>IFERROR(VLOOKUP(C3,Merchants!$A$2:$D$41,4,FALSE),"Merchant not found")</f>
        <v>North</v>
      </c>
      <c r="L3" s="19">
        <f>_xlfn.IFNA(HLOOKUP(F3,'MDR Rates'!$C$1:$F$2,2,FALSE),"N/A")</f>
        <v>0</v>
      </c>
      <c r="M3" s="20">
        <f t="shared" ref="M3:M66" si="0">INT(D3)</f>
        <v>46026</v>
      </c>
      <c r="N3" s="17">
        <f>SUMIFS($E$2:$E$548,$C$2:$C$548,C3,$M$2:$M$548,M3)</f>
        <v>49</v>
      </c>
      <c r="O3" s="17">
        <f>GETPIVOTDATA("amount_inr",'Pivot Table'!$A$3,"merchant_name",I3,"Date",M3)</f>
        <v>49</v>
      </c>
      <c r="P3" s="17" t="str">
        <f t="shared" ref="P3:P66" si="1">IF(AND(O3&gt;5000,K3&lt;&gt;"East"),"High-Value Merchant Day","Standard")</f>
        <v>Standard</v>
      </c>
    </row>
    <row r="4" spans="1:16">
      <c r="A4" s="17" t="s">
        <v>13</v>
      </c>
      <c r="B4" s="17">
        <v>122</v>
      </c>
      <c r="C4" s="17">
        <v>11</v>
      </c>
      <c r="D4" s="18">
        <v>46046.2076388889</v>
      </c>
      <c r="E4" s="17">
        <v>1499</v>
      </c>
      <c r="F4" s="17" t="s">
        <v>9</v>
      </c>
      <c r="G4" s="17" t="s">
        <v>10</v>
      </c>
      <c r="H4" s="17">
        <v>22</v>
      </c>
      <c r="I4" s="17" t="str">
        <f>IFERROR(VLOOKUP(C4,Merchants!$A$2:$D$41,2,FALSE),"Merchant not found")</f>
        <v>Merchant_011</v>
      </c>
      <c r="J4" s="17" t="str">
        <f>IFERROR(VLOOKUP(C4,Merchants!$A$2:$D$41,3,FALSE),"Merchant not found")</f>
        <v>ecommerce</v>
      </c>
      <c r="K4" s="17" t="str">
        <f>IFERROR(VLOOKUP(C4,Merchants!$A$2:$D$41,4,FALSE),"Merchant not found")</f>
        <v>North</v>
      </c>
      <c r="L4" s="19">
        <f>_xlfn.IFNA(HLOOKUP(F4,'MDR Rates'!$C$1:$F$2,2,FALSE),"N/A")</f>
        <v>0.01</v>
      </c>
      <c r="M4" s="20">
        <f t="shared" si="0"/>
        <v>46046</v>
      </c>
      <c r="N4" s="17">
        <f>SUMIFS($E$2:$E$548,$C$2:$C$548,C4,$M$2:$M$548,M4)</f>
        <v>1798</v>
      </c>
      <c r="O4" s="17">
        <f>GETPIVOTDATA("amount_inr",'Pivot Table'!$A$3,"merchant_name",I4,"Date",M4)</f>
        <v>1798</v>
      </c>
      <c r="P4" s="17" t="str">
        <f t="shared" si="1"/>
        <v>Standard</v>
      </c>
    </row>
    <row r="5" spans="1:16">
      <c r="A5" s="17" t="s">
        <v>14</v>
      </c>
      <c r="B5" s="17">
        <v>92</v>
      </c>
      <c r="C5" s="17">
        <v>22</v>
      </c>
      <c r="D5" s="18">
        <v>46051.5423611111</v>
      </c>
      <c r="E5" s="17">
        <v>49</v>
      </c>
      <c r="F5" s="17" t="s">
        <v>15</v>
      </c>
      <c r="G5" s="17" t="s">
        <v>10</v>
      </c>
      <c r="H5" s="17">
        <v>100</v>
      </c>
      <c r="I5" s="17" t="str">
        <f>IFERROR(VLOOKUP(C5,Merchants!$A$2:$D$41,2,FALSE),"Merchant not found")</f>
        <v>Merchant_022</v>
      </c>
      <c r="J5" s="17" t="str">
        <f>IFERROR(VLOOKUP(C5,Merchants!$A$2:$D$41,3,FALSE),"Merchant not found")</f>
        <v>travel</v>
      </c>
      <c r="K5" s="17" t="str">
        <f>IFERROR(VLOOKUP(C5,Merchants!$A$2:$D$41,4,FALSE),"Merchant not found")</f>
        <v>South</v>
      </c>
      <c r="L5" s="19">
        <f>_xlfn.IFNA(HLOOKUP(F5,'MDR Rates'!$C$1:$F$2,2,FALSE),"N/A")</f>
        <v>0.015</v>
      </c>
      <c r="M5" s="20">
        <f t="shared" si="0"/>
        <v>46051</v>
      </c>
      <c r="N5" s="17">
        <f t="shared" ref="N5:N68" si="2">SUMIFS($E$2:$E$548,$C$2:$C$548,C5,$M$2:$M$548,M5)</f>
        <v>49</v>
      </c>
      <c r="O5" s="17">
        <f>GETPIVOTDATA("amount_inr",'Pivot Table'!$A$3,"merchant_name",I5,"Date",M5)</f>
        <v>49</v>
      </c>
      <c r="P5" s="17" t="str">
        <f t="shared" si="1"/>
        <v>Standard</v>
      </c>
    </row>
    <row r="6" spans="1:16">
      <c r="A6" s="17" t="s">
        <v>16</v>
      </c>
      <c r="B6" s="17">
        <v>343</v>
      </c>
      <c r="C6" s="17">
        <v>16</v>
      </c>
      <c r="D6" s="18">
        <v>46052.5770833333</v>
      </c>
      <c r="E6" s="17">
        <v>99</v>
      </c>
      <c r="F6" s="17" t="s">
        <v>12</v>
      </c>
      <c r="G6" s="17" t="s">
        <v>10</v>
      </c>
      <c r="H6" s="17">
        <v>34</v>
      </c>
      <c r="I6" s="17" t="str">
        <f>IFERROR(VLOOKUP(C6,Merchants!$A$2:$D$41,2,FALSE),"Merchant not found")</f>
        <v>Merchant_016</v>
      </c>
      <c r="J6" s="17" t="str">
        <f>IFERROR(VLOOKUP(C6,Merchants!$A$2:$D$41,3,FALSE),"Merchant not found")</f>
        <v>bill_payment</v>
      </c>
      <c r="K6" s="17" t="str">
        <f>IFERROR(VLOOKUP(C6,Merchants!$A$2:$D$41,4,FALSE),"Merchant not found")</f>
        <v>West</v>
      </c>
      <c r="L6" s="19">
        <f>_xlfn.IFNA(HLOOKUP(F6,'MDR Rates'!$C$1:$F$2,2,FALSE),"N/A")</f>
        <v>0</v>
      </c>
      <c r="M6" s="20">
        <f t="shared" si="0"/>
        <v>46052</v>
      </c>
      <c r="N6" s="17">
        <f t="shared" si="2"/>
        <v>898</v>
      </c>
      <c r="O6" s="17">
        <f>GETPIVOTDATA("amount_inr",'Pivot Table'!$A$3,"merchant_name",I6,"Date",M6)</f>
        <v>898</v>
      </c>
      <c r="P6" s="17" t="str">
        <f t="shared" si="1"/>
        <v>Standard</v>
      </c>
    </row>
    <row r="7" spans="1:16">
      <c r="A7" s="17" t="s">
        <v>17</v>
      </c>
      <c r="B7" s="17">
        <v>196</v>
      </c>
      <c r="C7" s="17">
        <v>3</v>
      </c>
      <c r="D7" s="18">
        <v>46028.9208333333</v>
      </c>
      <c r="E7" s="17">
        <v>99</v>
      </c>
      <c r="F7" s="17" t="s">
        <v>12</v>
      </c>
      <c r="G7" s="17" t="s">
        <v>10</v>
      </c>
      <c r="H7" s="17">
        <v>60</v>
      </c>
      <c r="I7" s="17" t="str">
        <f>IFERROR(VLOOKUP(C7,Merchants!$A$2:$D$41,2,FALSE),"Merchant not found")</f>
        <v>Merchant_003</v>
      </c>
      <c r="J7" s="17" t="str">
        <f>IFERROR(VLOOKUP(C7,Merchants!$A$2:$D$41,3,FALSE),"Merchant not found")</f>
        <v>grocery</v>
      </c>
      <c r="K7" s="17" t="str">
        <f>IFERROR(VLOOKUP(C7,Merchants!$A$2:$D$41,4,FALSE),"Merchant not found")</f>
        <v>East</v>
      </c>
      <c r="L7" s="19">
        <f>_xlfn.IFNA(HLOOKUP(F7,'MDR Rates'!$C$1:$F$2,2,FALSE),"N/A")</f>
        <v>0</v>
      </c>
      <c r="M7" s="20">
        <f t="shared" si="0"/>
        <v>46028</v>
      </c>
      <c r="N7" s="17">
        <f t="shared" si="2"/>
        <v>898</v>
      </c>
      <c r="O7" s="17">
        <f>GETPIVOTDATA("amount_inr",'Pivot Table'!$A$3,"merchant_name",I7,"Date",M7)</f>
        <v>898</v>
      </c>
      <c r="P7" s="17" t="str">
        <f t="shared" si="1"/>
        <v>Standard</v>
      </c>
    </row>
    <row r="8" spans="1:16">
      <c r="A8" s="17" t="s">
        <v>18</v>
      </c>
      <c r="B8" s="17">
        <v>236</v>
      </c>
      <c r="C8" s="17">
        <v>23</v>
      </c>
      <c r="D8" s="18">
        <v>46030.2861111111</v>
      </c>
      <c r="E8" s="17">
        <v>99</v>
      </c>
      <c r="F8" s="17" t="s">
        <v>9</v>
      </c>
      <c r="G8" s="17" t="s">
        <v>10</v>
      </c>
      <c r="H8" s="17">
        <v>39</v>
      </c>
      <c r="I8" s="17" t="str">
        <f>IFERROR(VLOOKUP(C8,Merchants!$A$2:$D$41,2,FALSE),"Merchant not found")</f>
        <v>Merchant_023</v>
      </c>
      <c r="J8" s="17" t="str">
        <f>IFERROR(VLOOKUP(C8,Merchants!$A$2:$D$41,3,FALSE),"Merchant not found")</f>
        <v>travel</v>
      </c>
      <c r="K8" s="17" t="str">
        <f>IFERROR(VLOOKUP(C8,Merchants!$A$2:$D$41,4,FALSE),"Merchant not found")</f>
        <v>North</v>
      </c>
      <c r="L8" s="19">
        <f>_xlfn.IFNA(HLOOKUP(F8,'MDR Rates'!$C$1:$F$2,2,FALSE),"N/A")</f>
        <v>0.01</v>
      </c>
      <c r="M8" s="20">
        <f t="shared" si="0"/>
        <v>46030</v>
      </c>
      <c r="N8" s="17">
        <f t="shared" si="2"/>
        <v>99</v>
      </c>
      <c r="O8" s="17">
        <f>GETPIVOTDATA("amount_inr",'Pivot Table'!$A$3,"merchant_name",I8,"Date",M8)</f>
        <v>99</v>
      </c>
      <c r="P8" s="17" t="str">
        <f t="shared" si="1"/>
        <v>Standard</v>
      </c>
    </row>
    <row r="9" spans="1:16">
      <c r="A9" s="17" t="s">
        <v>19</v>
      </c>
      <c r="B9" s="17">
        <v>13</v>
      </c>
      <c r="C9" s="17">
        <v>13</v>
      </c>
      <c r="D9" s="18">
        <v>46049.3013888889</v>
      </c>
      <c r="E9" s="17">
        <v>99</v>
      </c>
      <c r="F9" s="17" t="s">
        <v>12</v>
      </c>
      <c r="G9" s="17" t="s">
        <v>10</v>
      </c>
      <c r="H9" s="17">
        <v>51</v>
      </c>
      <c r="I9" s="17" t="str">
        <f>IFERROR(VLOOKUP(C9,Merchants!$A$2:$D$41,2,FALSE),"Merchant not found")</f>
        <v>Merchant_013</v>
      </c>
      <c r="J9" s="17" t="str">
        <f>IFERROR(VLOOKUP(C9,Merchants!$A$2:$D$41,3,FALSE),"Merchant not found")</f>
        <v>travel</v>
      </c>
      <c r="K9" s="17" t="str">
        <f>IFERROR(VLOOKUP(C9,Merchants!$A$2:$D$41,4,FALSE),"Merchant not found")</f>
        <v>East</v>
      </c>
      <c r="L9" s="19">
        <f>_xlfn.IFNA(HLOOKUP(F9,'MDR Rates'!$C$1:$F$2,2,FALSE),"N/A")</f>
        <v>0</v>
      </c>
      <c r="M9" s="20">
        <f t="shared" si="0"/>
        <v>46049</v>
      </c>
      <c r="N9" s="17">
        <f t="shared" si="2"/>
        <v>99</v>
      </c>
      <c r="O9" s="17">
        <f>GETPIVOTDATA("amount_inr",'Pivot Table'!$A$3,"merchant_name",I9,"Date",M9)</f>
        <v>99</v>
      </c>
      <c r="P9" s="17" t="str">
        <f t="shared" si="1"/>
        <v>Standard</v>
      </c>
    </row>
    <row r="10" spans="1:16">
      <c r="A10" s="17" t="s">
        <v>20</v>
      </c>
      <c r="B10" s="17">
        <v>36</v>
      </c>
      <c r="C10" s="17">
        <v>18</v>
      </c>
      <c r="D10" s="18">
        <v>46033.3715277778</v>
      </c>
      <c r="E10" s="17">
        <v>799</v>
      </c>
      <c r="F10" s="17" t="s">
        <v>12</v>
      </c>
      <c r="G10" s="17" t="s">
        <v>10</v>
      </c>
      <c r="H10" s="17">
        <v>44</v>
      </c>
      <c r="I10" s="17" t="str">
        <f>IFERROR(VLOOKUP(C10,Merchants!$A$2:$D$41,2,FALSE),"Merchant not found")</f>
        <v>Merchant_018</v>
      </c>
      <c r="J10" s="17" t="str">
        <f>IFERROR(VLOOKUP(C10,Merchants!$A$2:$D$41,3,FALSE),"Merchant not found")</f>
        <v>grocery</v>
      </c>
      <c r="K10" s="17" t="str">
        <f>IFERROR(VLOOKUP(C10,Merchants!$A$2:$D$41,4,FALSE),"Merchant not found")</f>
        <v>West</v>
      </c>
      <c r="L10" s="19">
        <f>_xlfn.IFNA(HLOOKUP(F10,'MDR Rates'!$C$1:$F$2,2,FALSE),"N/A")</f>
        <v>0</v>
      </c>
      <c r="M10" s="20">
        <f t="shared" si="0"/>
        <v>46033</v>
      </c>
      <c r="N10" s="17">
        <f t="shared" si="2"/>
        <v>799</v>
      </c>
      <c r="O10" s="17">
        <f>GETPIVOTDATA("amount_inr",'Pivot Table'!$A$3,"merchant_name",I10,"Date",M10)</f>
        <v>799</v>
      </c>
      <c r="P10" s="17" t="str">
        <f t="shared" si="1"/>
        <v>Standard</v>
      </c>
    </row>
    <row r="11" spans="1:16">
      <c r="A11" s="17" t="s">
        <v>21</v>
      </c>
      <c r="B11" s="17">
        <v>348</v>
      </c>
      <c r="C11" s="17">
        <v>35</v>
      </c>
      <c r="D11" s="18">
        <v>46043.6840277778</v>
      </c>
      <c r="E11" s="17">
        <v>299</v>
      </c>
      <c r="F11" s="17" t="s">
        <v>12</v>
      </c>
      <c r="G11" s="17" t="s">
        <v>10</v>
      </c>
      <c r="H11" s="17">
        <v>42</v>
      </c>
      <c r="I11" s="17" t="str">
        <f>IFERROR(VLOOKUP(C11,Merchants!$A$2:$D$41,2,FALSE),"Merchant not found")</f>
        <v>Merchant_035</v>
      </c>
      <c r="J11" s="17" t="str">
        <f>IFERROR(VLOOKUP(C11,Merchants!$A$2:$D$41,3,FALSE),"Merchant not found")</f>
        <v>recharge</v>
      </c>
      <c r="K11" s="17" t="str">
        <f>IFERROR(VLOOKUP(C11,Merchants!$A$2:$D$41,4,FALSE),"Merchant not found")</f>
        <v>East</v>
      </c>
      <c r="L11" s="19">
        <f>_xlfn.IFNA(HLOOKUP(F11,'MDR Rates'!$C$1:$F$2,2,FALSE),"N/A")</f>
        <v>0</v>
      </c>
      <c r="M11" s="20">
        <f t="shared" si="0"/>
        <v>46043</v>
      </c>
      <c r="N11" s="17">
        <f t="shared" si="2"/>
        <v>299</v>
      </c>
      <c r="O11" s="17">
        <f>GETPIVOTDATA("amount_inr",'Pivot Table'!$A$3,"merchant_name",I11,"Date",M11)</f>
        <v>299</v>
      </c>
      <c r="P11" s="17" t="str">
        <f t="shared" si="1"/>
        <v>Standard</v>
      </c>
    </row>
    <row r="12" spans="1:16">
      <c r="A12" s="17" t="s">
        <v>22</v>
      </c>
      <c r="B12" s="17">
        <v>134</v>
      </c>
      <c r="C12" s="17">
        <v>12</v>
      </c>
      <c r="D12" s="18">
        <v>46023.1638888889</v>
      </c>
      <c r="E12" s="17">
        <v>49</v>
      </c>
      <c r="F12" s="17" t="s">
        <v>12</v>
      </c>
      <c r="G12" s="17" t="s">
        <v>10</v>
      </c>
      <c r="H12" s="17">
        <v>74</v>
      </c>
      <c r="I12" s="17" t="str">
        <f>IFERROR(VLOOKUP(C12,Merchants!$A$2:$D$41,2,FALSE),"Merchant not found")</f>
        <v>Merchant_012</v>
      </c>
      <c r="J12" s="17" t="str">
        <f>IFERROR(VLOOKUP(C12,Merchants!$A$2:$D$41,3,FALSE),"Merchant not found")</f>
        <v>ecommerce</v>
      </c>
      <c r="K12" s="17" t="str">
        <f>IFERROR(VLOOKUP(C12,Merchants!$A$2:$D$41,4,FALSE),"Merchant not found")</f>
        <v>East</v>
      </c>
      <c r="L12" s="19">
        <f>_xlfn.IFNA(HLOOKUP(F12,'MDR Rates'!$C$1:$F$2,2,FALSE),"N/A")</f>
        <v>0</v>
      </c>
      <c r="M12" s="20">
        <f t="shared" si="0"/>
        <v>46023</v>
      </c>
      <c r="N12" s="17">
        <f t="shared" si="2"/>
        <v>548</v>
      </c>
      <c r="O12" s="17">
        <f>GETPIVOTDATA("amount_inr",'Pivot Table'!$A$3,"merchant_name",I12,"Date",M12)</f>
        <v>548</v>
      </c>
      <c r="P12" s="17" t="str">
        <f t="shared" si="1"/>
        <v>Standard</v>
      </c>
    </row>
    <row r="13" spans="1:16">
      <c r="A13" s="17" t="s">
        <v>23</v>
      </c>
      <c r="B13" s="17">
        <v>306</v>
      </c>
      <c r="C13" s="17">
        <v>28</v>
      </c>
      <c r="D13" s="18">
        <v>46031.0458333333</v>
      </c>
      <c r="E13" s="17">
        <v>2999</v>
      </c>
      <c r="F13" s="17" t="s">
        <v>24</v>
      </c>
      <c r="G13" s="17" t="s">
        <v>25</v>
      </c>
      <c r="H13" s="17">
        <v>44</v>
      </c>
      <c r="I13" s="17" t="str">
        <f>IFERROR(VLOOKUP(C13,Merchants!$A$2:$D$41,2,FALSE),"Merchant not found")</f>
        <v>Merchant_028</v>
      </c>
      <c r="J13" s="17" t="str">
        <f>IFERROR(VLOOKUP(C13,Merchants!$A$2:$D$41,3,FALSE),"Merchant not found")</f>
        <v>ecommerce</v>
      </c>
      <c r="K13" s="17" t="str">
        <f>IFERROR(VLOOKUP(C13,Merchants!$A$2:$D$41,4,FALSE),"Merchant not found")</f>
        <v>South</v>
      </c>
      <c r="L13" s="19">
        <f>_xlfn.IFNA(HLOOKUP(F13,'MDR Rates'!$C$1:$F$2,2,FALSE),"N/A")</f>
        <v>0.02</v>
      </c>
      <c r="M13" s="20">
        <f t="shared" si="0"/>
        <v>46031</v>
      </c>
      <c r="N13" s="17">
        <f t="shared" si="2"/>
        <v>2999</v>
      </c>
      <c r="O13" s="17">
        <f>GETPIVOTDATA("amount_inr",'Pivot Table'!$A$3,"merchant_name",I13,"Date",M13)</f>
        <v>2999</v>
      </c>
      <c r="P13" s="17" t="str">
        <f t="shared" si="1"/>
        <v>Standard</v>
      </c>
    </row>
    <row r="14" spans="1:16">
      <c r="A14" s="17" t="s">
        <v>26</v>
      </c>
      <c r="B14" s="17">
        <v>311</v>
      </c>
      <c r="C14" s="17">
        <v>33</v>
      </c>
      <c r="D14" s="18">
        <v>46046.4354166667</v>
      </c>
      <c r="E14" s="17">
        <v>49</v>
      </c>
      <c r="F14" s="17" t="s">
        <v>9</v>
      </c>
      <c r="G14" s="17" t="s">
        <v>10</v>
      </c>
      <c r="H14" s="17">
        <v>14</v>
      </c>
      <c r="I14" s="17" t="str">
        <f>IFERROR(VLOOKUP(C14,Merchants!$A$2:$D$41,2,FALSE),"Merchant not found")</f>
        <v>Merchant_033</v>
      </c>
      <c r="J14" s="17" t="str">
        <f>IFERROR(VLOOKUP(C14,Merchants!$A$2:$D$41,3,FALSE),"Merchant not found")</f>
        <v>bill_payment</v>
      </c>
      <c r="K14" s="17" t="str">
        <f>IFERROR(VLOOKUP(C14,Merchants!$A$2:$D$41,4,FALSE),"Merchant not found")</f>
        <v>East</v>
      </c>
      <c r="L14" s="19">
        <f>_xlfn.IFNA(HLOOKUP(F14,'MDR Rates'!$C$1:$F$2,2,FALSE),"N/A")</f>
        <v>0.01</v>
      </c>
      <c r="M14" s="20">
        <f t="shared" si="0"/>
        <v>46046</v>
      </c>
      <c r="N14" s="17">
        <f t="shared" si="2"/>
        <v>49</v>
      </c>
      <c r="O14" s="17">
        <f>GETPIVOTDATA("amount_inr",'Pivot Table'!$A$3,"merchant_name",I14,"Date",M14)</f>
        <v>49</v>
      </c>
      <c r="P14" s="17" t="str">
        <f t="shared" si="1"/>
        <v>Standard</v>
      </c>
    </row>
    <row r="15" spans="1:16">
      <c r="A15" s="17" t="s">
        <v>27</v>
      </c>
      <c r="B15" s="17">
        <v>131</v>
      </c>
      <c r="C15" s="17">
        <v>3</v>
      </c>
      <c r="D15" s="18">
        <v>46035.7583333333</v>
      </c>
      <c r="E15" s="17">
        <v>49</v>
      </c>
      <c r="F15" s="17" t="s">
        <v>12</v>
      </c>
      <c r="G15" s="17" t="s">
        <v>10</v>
      </c>
      <c r="H15" s="17">
        <v>90</v>
      </c>
      <c r="I15" s="17" t="str">
        <f>IFERROR(VLOOKUP(C15,Merchants!$A$2:$D$41,2,FALSE),"Merchant not found")</f>
        <v>Merchant_003</v>
      </c>
      <c r="J15" s="17" t="str">
        <f>IFERROR(VLOOKUP(C15,Merchants!$A$2:$D$41,3,FALSE),"Merchant not found")</f>
        <v>grocery</v>
      </c>
      <c r="K15" s="17" t="str">
        <f>IFERROR(VLOOKUP(C15,Merchants!$A$2:$D$41,4,FALSE),"Merchant not found")</f>
        <v>East</v>
      </c>
      <c r="L15" s="19">
        <f>_xlfn.IFNA(HLOOKUP(F15,'MDR Rates'!$C$1:$F$2,2,FALSE),"N/A")</f>
        <v>0</v>
      </c>
      <c r="M15" s="20">
        <f t="shared" si="0"/>
        <v>46035</v>
      </c>
      <c r="N15" s="17">
        <f t="shared" si="2"/>
        <v>198</v>
      </c>
      <c r="O15" s="17">
        <f>GETPIVOTDATA("amount_inr",'Pivot Table'!$A$3,"merchant_name",I15,"Date",M15)</f>
        <v>198</v>
      </c>
      <c r="P15" s="17" t="str">
        <f t="shared" si="1"/>
        <v>Standard</v>
      </c>
    </row>
    <row r="16" spans="1:16">
      <c r="A16" s="17" t="s">
        <v>28</v>
      </c>
      <c r="B16" s="17">
        <v>276</v>
      </c>
      <c r="C16" s="17">
        <v>13</v>
      </c>
      <c r="D16" s="18">
        <v>46036.0229166667</v>
      </c>
      <c r="E16" s="17">
        <v>1499</v>
      </c>
      <c r="F16" s="17" t="s">
        <v>12</v>
      </c>
      <c r="G16" s="17" t="s">
        <v>10</v>
      </c>
      <c r="H16" s="17">
        <v>46</v>
      </c>
      <c r="I16" s="17" t="str">
        <f>IFERROR(VLOOKUP(C16,Merchants!$A$2:$D$41,2,FALSE),"Merchant not found")</f>
        <v>Merchant_013</v>
      </c>
      <c r="J16" s="17" t="str">
        <f>IFERROR(VLOOKUP(C16,Merchants!$A$2:$D$41,3,FALSE),"Merchant not found")</f>
        <v>travel</v>
      </c>
      <c r="K16" s="17" t="str">
        <f>IFERROR(VLOOKUP(C16,Merchants!$A$2:$D$41,4,FALSE),"Merchant not found")</f>
        <v>East</v>
      </c>
      <c r="L16" s="19">
        <f>_xlfn.IFNA(HLOOKUP(F16,'MDR Rates'!$C$1:$F$2,2,FALSE),"N/A")</f>
        <v>0</v>
      </c>
      <c r="M16" s="20">
        <f t="shared" si="0"/>
        <v>46036</v>
      </c>
      <c r="N16" s="17">
        <f t="shared" si="2"/>
        <v>1499</v>
      </c>
      <c r="O16" s="17">
        <f>GETPIVOTDATA("amount_inr",'Pivot Table'!$A$3,"merchant_name",I16,"Date",M16)</f>
        <v>1499</v>
      </c>
      <c r="P16" s="17" t="str">
        <f t="shared" si="1"/>
        <v>Standard</v>
      </c>
    </row>
    <row r="17" spans="1:16">
      <c r="A17" s="17" t="s">
        <v>29</v>
      </c>
      <c r="B17" s="17">
        <v>170</v>
      </c>
      <c r="C17" s="17">
        <v>40</v>
      </c>
      <c r="D17" s="18">
        <v>46036.1125</v>
      </c>
      <c r="E17" s="17">
        <v>99</v>
      </c>
      <c r="F17" s="17" t="s">
        <v>12</v>
      </c>
      <c r="G17" s="17" t="s">
        <v>10</v>
      </c>
      <c r="H17" s="17">
        <v>40</v>
      </c>
      <c r="I17" s="17" t="str">
        <f>IFERROR(VLOOKUP(C17,Merchants!$A$2:$D$41,2,FALSE),"Merchant not found")</f>
        <v>Merchant_040</v>
      </c>
      <c r="J17" s="17" t="str">
        <f>IFERROR(VLOOKUP(C17,Merchants!$A$2:$D$41,3,FALSE),"Merchant not found")</f>
        <v>entertainment</v>
      </c>
      <c r="K17" s="17" t="str">
        <f>IFERROR(VLOOKUP(C17,Merchants!$A$2:$D$41,4,FALSE),"Merchant not found")</f>
        <v>South</v>
      </c>
      <c r="L17" s="19">
        <f>_xlfn.IFNA(HLOOKUP(F17,'MDR Rates'!$C$1:$F$2,2,FALSE),"N/A")</f>
        <v>0</v>
      </c>
      <c r="M17" s="20">
        <f t="shared" si="0"/>
        <v>46036</v>
      </c>
      <c r="N17" s="17">
        <f t="shared" si="2"/>
        <v>99</v>
      </c>
      <c r="O17" s="17">
        <f>GETPIVOTDATA("amount_inr",'Pivot Table'!$A$3,"merchant_name",I17,"Date",M17)</f>
        <v>99</v>
      </c>
      <c r="P17" s="17" t="str">
        <f t="shared" si="1"/>
        <v>Standard</v>
      </c>
    </row>
    <row r="18" spans="1:16">
      <c r="A18" s="17" t="s">
        <v>30</v>
      </c>
      <c r="B18" s="17">
        <v>154</v>
      </c>
      <c r="C18" s="17">
        <v>33</v>
      </c>
      <c r="D18" s="18">
        <v>46044.1569444444</v>
      </c>
      <c r="E18" s="17">
        <v>99</v>
      </c>
      <c r="F18" s="17" t="s">
        <v>15</v>
      </c>
      <c r="G18" s="17" t="s">
        <v>10</v>
      </c>
      <c r="H18" s="17">
        <v>39</v>
      </c>
      <c r="I18" s="17" t="str">
        <f>IFERROR(VLOOKUP(C18,Merchants!$A$2:$D$41,2,FALSE),"Merchant not found")</f>
        <v>Merchant_033</v>
      </c>
      <c r="J18" s="17" t="str">
        <f>IFERROR(VLOOKUP(C18,Merchants!$A$2:$D$41,3,FALSE),"Merchant not found")</f>
        <v>bill_payment</v>
      </c>
      <c r="K18" s="17" t="str">
        <f>IFERROR(VLOOKUP(C18,Merchants!$A$2:$D$41,4,FALSE),"Merchant not found")</f>
        <v>East</v>
      </c>
      <c r="L18" s="19">
        <f>_xlfn.IFNA(HLOOKUP(F18,'MDR Rates'!$C$1:$F$2,2,FALSE),"N/A")</f>
        <v>0.015</v>
      </c>
      <c r="M18" s="20">
        <f t="shared" si="0"/>
        <v>46044</v>
      </c>
      <c r="N18" s="17">
        <f t="shared" si="2"/>
        <v>99</v>
      </c>
      <c r="O18" s="17">
        <f>GETPIVOTDATA("amount_inr",'Pivot Table'!$A$3,"merchant_name",I18,"Date",M18)</f>
        <v>99</v>
      </c>
      <c r="P18" s="17" t="str">
        <f t="shared" si="1"/>
        <v>Standard</v>
      </c>
    </row>
    <row r="19" spans="1:16">
      <c r="A19" s="17" t="s">
        <v>31</v>
      </c>
      <c r="B19" s="17">
        <v>207</v>
      </c>
      <c r="C19" s="17">
        <v>19</v>
      </c>
      <c r="D19" s="18">
        <v>46044.5555555556</v>
      </c>
      <c r="E19" s="17">
        <v>2999</v>
      </c>
      <c r="F19" s="17" t="s">
        <v>24</v>
      </c>
      <c r="G19" s="17" t="s">
        <v>10</v>
      </c>
      <c r="H19" s="17">
        <v>70</v>
      </c>
      <c r="I19" s="17" t="str">
        <f>IFERROR(VLOOKUP(C19,Merchants!$A$2:$D$41,2,FALSE),"Merchant not found")</f>
        <v>Merchant_019</v>
      </c>
      <c r="J19" s="17" t="str">
        <f>IFERROR(VLOOKUP(C19,Merchants!$A$2:$D$41,3,FALSE),"Merchant not found")</f>
        <v>grocery</v>
      </c>
      <c r="K19" s="17" t="str">
        <f>IFERROR(VLOOKUP(C19,Merchants!$A$2:$D$41,4,FALSE),"Merchant not found")</f>
        <v>North</v>
      </c>
      <c r="L19" s="19">
        <f>_xlfn.IFNA(HLOOKUP(F19,'MDR Rates'!$C$1:$F$2,2,FALSE),"N/A")</f>
        <v>0.02</v>
      </c>
      <c r="M19" s="20">
        <f t="shared" si="0"/>
        <v>46044</v>
      </c>
      <c r="N19" s="17">
        <f t="shared" si="2"/>
        <v>2999</v>
      </c>
      <c r="O19" s="17">
        <f>GETPIVOTDATA("amount_inr",'Pivot Table'!$A$3,"merchant_name",I19,"Date",M19)</f>
        <v>2999</v>
      </c>
      <c r="P19" s="17" t="str">
        <f t="shared" si="1"/>
        <v>Standard</v>
      </c>
    </row>
    <row r="20" spans="1:16">
      <c r="A20" s="17" t="s">
        <v>32</v>
      </c>
      <c r="B20" s="17">
        <v>341</v>
      </c>
      <c r="C20" s="17">
        <v>25</v>
      </c>
      <c r="D20" s="18">
        <v>46027.2680555556</v>
      </c>
      <c r="E20" s="17">
        <v>2999</v>
      </c>
      <c r="F20" s="17" t="s">
        <v>12</v>
      </c>
      <c r="G20" s="17" t="s">
        <v>10</v>
      </c>
      <c r="H20" s="17">
        <v>86</v>
      </c>
      <c r="I20" s="17" t="str">
        <f>IFERROR(VLOOKUP(C20,Merchants!$A$2:$D$41,2,FALSE),"Merchant not found")</f>
        <v>Merchant_025</v>
      </c>
      <c r="J20" s="17" t="str">
        <f>IFERROR(VLOOKUP(C20,Merchants!$A$2:$D$41,3,FALSE),"Merchant not found")</f>
        <v>travel</v>
      </c>
      <c r="K20" s="17" t="str">
        <f>IFERROR(VLOOKUP(C20,Merchants!$A$2:$D$41,4,FALSE),"Merchant not found")</f>
        <v>South</v>
      </c>
      <c r="L20" s="19">
        <f>_xlfn.IFNA(HLOOKUP(F20,'MDR Rates'!$C$1:$F$2,2,FALSE),"N/A")</f>
        <v>0</v>
      </c>
      <c r="M20" s="20">
        <f t="shared" si="0"/>
        <v>46027</v>
      </c>
      <c r="N20" s="17">
        <f t="shared" si="2"/>
        <v>4498</v>
      </c>
      <c r="O20" s="17">
        <f>GETPIVOTDATA("amount_inr",'Pivot Table'!$A$3,"merchant_name",I20,"Date",M20)</f>
        <v>4498</v>
      </c>
      <c r="P20" s="17" t="str">
        <f t="shared" si="1"/>
        <v>Standard</v>
      </c>
    </row>
    <row r="21" spans="1:16">
      <c r="A21" s="17" t="s">
        <v>33</v>
      </c>
      <c r="B21" s="17">
        <v>292</v>
      </c>
      <c r="C21" s="17">
        <v>20</v>
      </c>
      <c r="D21" s="18">
        <v>46046.2354166667</v>
      </c>
      <c r="E21" s="17">
        <v>49</v>
      </c>
      <c r="F21" s="17" t="s">
        <v>12</v>
      </c>
      <c r="G21" s="17" t="s">
        <v>10</v>
      </c>
      <c r="H21" s="17">
        <v>51</v>
      </c>
      <c r="I21" s="17" t="str">
        <f>IFERROR(VLOOKUP(C21,Merchants!$A$2:$D$41,2,FALSE),"Merchant not found")</f>
        <v>Merchant_020</v>
      </c>
      <c r="J21" s="17" t="str">
        <f>IFERROR(VLOOKUP(C21,Merchants!$A$2:$D$41,3,FALSE),"Merchant not found")</f>
        <v>food_delivery</v>
      </c>
      <c r="K21" s="17" t="str">
        <f>IFERROR(VLOOKUP(C21,Merchants!$A$2:$D$41,4,FALSE),"Merchant not found")</f>
        <v>East</v>
      </c>
      <c r="L21" s="19">
        <f>_xlfn.IFNA(HLOOKUP(F21,'MDR Rates'!$C$1:$F$2,2,FALSE),"N/A")</f>
        <v>0</v>
      </c>
      <c r="M21" s="20">
        <f t="shared" si="0"/>
        <v>46046</v>
      </c>
      <c r="N21" s="17">
        <f t="shared" si="2"/>
        <v>49</v>
      </c>
      <c r="O21" s="17">
        <f>GETPIVOTDATA("amount_inr",'Pivot Table'!$A$3,"merchant_name",I21,"Date",M21)</f>
        <v>49</v>
      </c>
      <c r="P21" s="17" t="str">
        <f t="shared" si="1"/>
        <v>Standard</v>
      </c>
    </row>
    <row r="22" spans="1:16">
      <c r="A22" s="17" t="s">
        <v>34</v>
      </c>
      <c r="B22" s="17">
        <v>147</v>
      </c>
      <c r="C22" s="17">
        <v>14</v>
      </c>
      <c r="D22" s="18">
        <v>46040.0131944444</v>
      </c>
      <c r="E22" s="17">
        <v>99</v>
      </c>
      <c r="F22" s="17" t="s">
        <v>24</v>
      </c>
      <c r="G22" s="17" t="s">
        <v>10</v>
      </c>
      <c r="H22" s="17">
        <v>55</v>
      </c>
      <c r="I22" s="17" t="str">
        <f>IFERROR(VLOOKUP(C22,Merchants!$A$2:$D$41,2,FALSE),"Merchant not found")</f>
        <v>Merchant_014</v>
      </c>
      <c r="J22" s="17" t="str">
        <f>IFERROR(VLOOKUP(C22,Merchants!$A$2:$D$41,3,FALSE),"Merchant not found")</f>
        <v>grocery</v>
      </c>
      <c r="K22" s="17" t="str">
        <f>IFERROR(VLOOKUP(C22,Merchants!$A$2:$D$41,4,FALSE),"Merchant not found")</f>
        <v>East</v>
      </c>
      <c r="L22" s="19">
        <f>_xlfn.IFNA(HLOOKUP(F22,'MDR Rates'!$C$1:$F$2,2,FALSE),"N/A")</f>
        <v>0.02</v>
      </c>
      <c r="M22" s="20">
        <f t="shared" si="0"/>
        <v>46040</v>
      </c>
      <c r="N22" s="17">
        <f t="shared" si="2"/>
        <v>99</v>
      </c>
      <c r="O22" s="17">
        <f>GETPIVOTDATA("amount_inr",'Pivot Table'!$A$3,"merchant_name",I22,"Date",M22)</f>
        <v>99</v>
      </c>
      <c r="P22" s="17" t="str">
        <f t="shared" si="1"/>
        <v>Standard</v>
      </c>
    </row>
    <row r="23" spans="1:16">
      <c r="A23" s="17" t="s">
        <v>35</v>
      </c>
      <c r="B23" s="17">
        <v>336</v>
      </c>
      <c r="C23" s="17">
        <v>21</v>
      </c>
      <c r="D23" s="18">
        <v>46048.7763888889</v>
      </c>
      <c r="E23" s="17">
        <v>99</v>
      </c>
      <c r="F23" s="17" t="s">
        <v>12</v>
      </c>
      <c r="G23" s="17" t="s">
        <v>10</v>
      </c>
      <c r="H23" s="17">
        <v>59</v>
      </c>
      <c r="I23" s="17" t="str">
        <f>IFERROR(VLOOKUP(C23,Merchants!$A$2:$D$41,2,FALSE),"Merchant not found")</f>
        <v>Merchant_021</v>
      </c>
      <c r="J23" s="17" t="str">
        <f>IFERROR(VLOOKUP(C23,Merchants!$A$2:$D$41,3,FALSE),"Merchant not found")</f>
        <v>food_delivery</v>
      </c>
      <c r="K23" s="17" t="str">
        <f>IFERROR(VLOOKUP(C23,Merchants!$A$2:$D$41,4,FALSE),"Merchant not found")</f>
        <v>East</v>
      </c>
      <c r="L23" s="19">
        <f>_xlfn.IFNA(HLOOKUP(F23,'MDR Rates'!$C$1:$F$2,2,FALSE),"N/A")</f>
        <v>0</v>
      </c>
      <c r="M23" s="20">
        <f t="shared" si="0"/>
        <v>46048</v>
      </c>
      <c r="N23" s="17">
        <f t="shared" si="2"/>
        <v>99</v>
      </c>
      <c r="O23" s="17">
        <f>GETPIVOTDATA("amount_inr",'Pivot Table'!$A$3,"merchant_name",I23,"Date",M23)</f>
        <v>99</v>
      </c>
      <c r="P23" s="17" t="str">
        <f t="shared" si="1"/>
        <v>Standard</v>
      </c>
    </row>
    <row r="24" spans="1:16">
      <c r="A24" s="17" t="s">
        <v>36</v>
      </c>
      <c r="B24" s="17">
        <v>110</v>
      </c>
      <c r="C24" s="17">
        <v>33</v>
      </c>
      <c r="D24" s="18">
        <v>46037.6131944444</v>
      </c>
      <c r="E24" s="17">
        <v>799</v>
      </c>
      <c r="F24" s="17" t="s">
        <v>12</v>
      </c>
      <c r="G24" s="17" t="s">
        <v>10</v>
      </c>
      <c r="H24" s="17">
        <v>60</v>
      </c>
      <c r="I24" s="17" t="str">
        <f>IFERROR(VLOOKUP(C24,Merchants!$A$2:$D$41,2,FALSE),"Merchant not found")</f>
        <v>Merchant_033</v>
      </c>
      <c r="J24" s="17" t="str">
        <f>IFERROR(VLOOKUP(C24,Merchants!$A$2:$D$41,3,FALSE),"Merchant not found")</f>
        <v>bill_payment</v>
      </c>
      <c r="K24" s="17" t="str">
        <f>IFERROR(VLOOKUP(C24,Merchants!$A$2:$D$41,4,FALSE),"Merchant not found")</f>
        <v>East</v>
      </c>
      <c r="L24" s="19">
        <f>_xlfn.IFNA(HLOOKUP(F24,'MDR Rates'!$C$1:$F$2,2,FALSE),"N/A")</f>
        <v>0</v>
      </c>
      <c r="M24" s="20">
        <f t="shared" si="0"/>
        <v>46037</v>
      </c>
      <c r="N24" s="17">
        <f t="shared" si="2"/>
        <v>799</v>
      </c>
      <c r="O24" s="17">
        <f>GETPIVOTDATA("amount_inr",'Pivot Table'!$A$3,"merchant_name",I24,"Date",M24)</f>
        <v>799</v>
      </c>
      <c r="P24" s="17" t="str">
        <f t="shared" si="1"/>
        <v>Standard</v>
      </c>
    </row>
    <row r="25" spans="1:16">
      <c r="A25" s="17" t="s">
        <v>37</v>
      </c>
      <c r="B25" s="17">
        <v>338</v>
      </c>
      <c r="C25" s="17">
        <v>6</v>
      </c>
      <c r="D25" s="18">
        <v>46048.9652777778</v>
      </c>
      <c r="E25" s="17">
        <v>799</v>
      </c>
      <c r="F25" s="17" t="s">
        <v>12</v>
      </c>
      <c r="G25" s="17" t="s">
        <v>38</v>
      </c>
      <c r="H25" s="17">
        <v>36</v>
      </c>
      <c r="I25" s="17" t="str">
        <f>IFERROR(VLOOKUP(C25,Merchants!$A$2:$D$41,2,FALSE),"Merchant not found")</f>
        <v>Merchant_006</v>
      </c>
      <c r="J25" s="17" t="str">
        <f>IFERROR(VLOOKUP(C25,Merchants!$A$2:$D$41,3,FALSE),"Merchant not found")</f>
        <v>food_delivery</v>
      </c>
      <c r="K25" s="17" t="str">
        <f>IFERROR(VLOOKUP(C25,Merchants!$A$2:$D$41,4,FALSE),"Merchant not found")</f>
        <v>South</v>
      </c>
      <c r="L25" s="19">
        <f>_xlfn.IFNA(HLOOKUP(F25,'MDR Rates'!$C$1:$F$2,2,FALSE),"N/A")</f>
        <v>0</v>
      </c>
      <c r="M25" s="20">
        <f t="shared" si="0"/>
        <v>46048</v>
      </c>
      <c r="N25" s="17">
        <f t="shared" si="2"/>
        <v>897</v>
      </c>
      <c r="O25" s="17">
        <f>GETPIVOTDATA("amount_inr",'Pivot Table'!$A$3,"merchant_name",I25,"Date",M25)</f>
        <v>897</v>
      </c>
      <c r="P25" s="17" t="str">
        <f t="shared" si="1"/>
        <v>Standard</v>
      </c>
    </row>
    <row r="26" spans="1:16">
      <c r="A26" s="17" t="s">
        <v>39</v>
      </c>
      <c r="B26" s="17">
        <v>318</v>
      </c>
      <c r="C26" s="17">
        <v>22</v>
      </c>
      <c r="D26" s="18">
        <v>46039.9027777778</v>
      </c>
      <c r="E26" s="17">
        <v>799</v>
      </c>
      <c r="F26" s="17" t="s">
        <v>9</v>
      </c>
      <c r="G26" s="17" t="s">
        <v>10</v>
      </c>
      <c r="H26" s="17">
        <v>11</v>
      </c>
      <c r="I26" s="17" t="str">
        <f>IFERROR(VLOOKUP(C26,Merchants!$A$2:$D$41,2,FALSE),"Merchant not found")</f>
        <v>Merchant_022</v>
      </c>
      <c r="J26" s="17" t="str">
        <f>IFERROR(VLOOKUP(C26,Merchants!$A$2:$D$41,3,FALSE),"Merchant not found")</f>
        <v>travel</v>
      </c>
      <c r="K26" s="17" t="str">
        <f>IFERROR(VLOOKUP(C26,Merchants!$A$2:$D$41,4,FALSE),"Merchant not found")</f>
        <v>South</v>
      </c>
      <c r="L26" s="19">
        <f>_xlfn.IFNA(HLOOKUP(F26,'MDR Rates'!$C$1:$F$2,2,FALSE),"N/A")</f>
        <v>0.01</v>
      </c>
      <c r="M26" s="20">
        <f t="shared" si="0"/>
        <v>46039</v>
      </c>
      <c r="N26" s="17">
        <f t="shared" si="2"/>
        <v>1598</v>
      </c>
      <c r="O26" s="17">
        <f>GETPIVOTDATA("amount_inr",'Pivot Table'!$A$3,"merchant_name",I26,"Date",M26)</f>
        <v>1598</v>
      </c>
      <c r="P26" s="17" t="str">
        <f t="shared" si="1"/>
        <v>Standard</v>
      </c>
    </row>
    <row r="27" spans="1:16">
      <c r="A27" s="17" t="s">
        <v>40</v>
      </c>
      <c r="B27" s="17">
        <v>159</v>
      </c>
      <c r="C27" s="17">
        <v>15</v>
      </c>
      <c r="D27" s="18">
        <v>46049.3215277778</v>
      </c>
      <c r="E27" s="17">
        <v>799</v>
      </c>
      <c r="F27" s="17" t="s">
        <v>12</v>
      </c>
      <c r="G27" s="17" t="s">
        <v>10</v>
      </c>
      <c r="H27" s="17">
        <v>25</v>
      </c>
      <c r="I27" s="17" t="str">
        <f>IFERROR(VLOOKUP(C27,Merchants!$A$2:$D$41,2,FALSE),"Merchant not found")</f>
        <v>Merchant_015</v>
      </c>
      <c r="J27" s="17" t="str">
        <f>IFERROR(VLOOKUP(C27,Merchants!$A$2:$D$41,3,FALSE),"Merchant not found")</f>
        <v>travel</v>
      </c>
      <c r="K27" s="17" t="str">
        <f>IFERROR(VLOOKUP(C27,Merchants!$A$2:$D$41,4,FALSE),"Merchant not found")</f>
        <v>North</v>
      </c>
      <c r="L27" s="19">
        <f>_xlfn.IFNA(HLOOKUP(F27,'MDR Rates'!$C$1:$F$2,2,FALSE),"N/A")</f>
        <v>0</v>
      </c>
      <c r="M27" s="20">
        <f t="shared" si="0"/>
        <v>46049</v>
      </c>
      <c r="N27" s="17">
        <f t="shared" si="2"/>
        <v>799</v>
      </c>
      <c r="O27" s="17">
        <f>GETPIVOTDATA("amount_inr",'Pivot Table'!$A$3,"merchant_name",I27,"Date",M27)</f>
        <v>799</v>
      </c>
      <c r="P27" s="17" t="str">
        <f t="shared" si="1"/>
        <v>Standard</v>
      </c>
    </row>
    <row r="28" spans="1:16">
      <c r="A28" s="17" t="s">
        <v>41</v>
      </c>
      <c r="B28" s="17">
        <v>126</v>
      </c>
      <c r="C28" s="17">
        <v>31</v>
      </c>
      <c r="D28" s="18">
        <v>46027.0013888889</v>
      </c>
      <c r="E28" s="17">
        <v>49</v>
      </c>
      <c r="F28" s="17" t="s">
        <v>24</v>
      </c>
      <c r="G28" s="17" t="s">
        <v>10</v>
      </c>
      <c r="H28" s="17">
        <v>78</v>
      </c>
      <c r="I28" s="17" t="str">
        <f>IFERROR(VLOOKUP(C28,Merchants!$A$2:$D$41,2,FALSE),"Merchant not found")</f>
        <v>Merchant_031</v>
      </c>
      <c r="J28" s="17" t="str">
        <f>IFERROR(VLOOKUP(C28,Merchants!$A$2:$D$41,3,FALSE),"Merchant not found")</f>
        <v>bill_payment</v>
      </c>
      <c r="K28" s="17" t="str">
        <f>IFERROR(VLOOKUP(C28,Merchants!$A$2:$D$41,4,FALSE),"Merchant not found")</f>
        <v>East</v>
      </c>
      <c r="L28" s="19">
        <f>_xlfn.IFNA(HLOOKUP(F28,'MDR Rates'!$C$1:$F$2,2,FALSE),"N/A")</f>
        <v>0.02</v>
      </c>
      <c r="M28" s="20">
        <f t="shared" si="0"/>
        <v>46027</v>
      </c>
      <c r="N28" s="17">
        <f t="shared" si="2"/>
        <v>49</v>
      </c>
      <c r="O28" s="17">
        <f>GETPIVOTDATA("amount_inr",'Pivot Table'!$A$3,"merchant_name",I28,"Date",M28)</f>
        <v>49</v>
      </c>
      <c r="P28" s="17" t="str">
        <f t="shared" si="1"/>
        <v>Standard</v>
      </c>
    </row>
    <row r="29" spans="1:16">
      <c r="A29" s="17" t="s">
        <v>42</v>
      </c>
      <c r="B29" s="17">
        <v>213</v>
      </c>
      <c r="C29" s="17">
        <v>37</v>
      </c>
      <c r="D29" s="18">
        <v>46050.1034722222</v>
      </c>
      <c r="E29" s="17">
        <v>99</v>
      </c>
      <c r="F29" s="17" t="s">
        <v>12</v>
      </c>
      <c r="G29" s="17" t="s">
        <v>10</v>
      </c>
      <c r="H29" s="17">
        <v>24</v>
      </c>
      <c r="I29" s="17" t="str">
        <f>IFERROR(VLOOKUP(C29,Merchants!$A$2:$D$41,2,FALSE),"Merchant not found")</f>
        <v>Merchant_037</v>
      </c>
      <c r="J29" s="17" t="str">
        <f>IFERROR(VLOOKUP(C29,Merchants!$A$2:$D$41,3,FALSE),"Merchant not found")</f>
        <v>entertainment</v>
      </c>
      <c r="K29" s="17" t="str">
        <f>IFERROR(VLOOKUP(C29,Merchants!$A$2:$D$41,4,FALSE),"Merchant not found")</f>
        <v>South</v>
      </c>
      <c r="L29" s="19">
        <f>_xlfn.IFNA(HLOOKUP(F29,'MDR Rates'!$C$1:$F$2,2,FALSE),"N/A")</f>
        <v>0</v>
      </c>
      <c r="M29" s="20">
        <f t="shared" si="0"/>
        <v>46050</v>
      </c>
      <c r="N29" s="17">
        <f t="shared" si="2"/>
        <v>697</v>
      </c>
      <c r="O29" s="17">
        <f>GETPIVOTDATA("amount_inr",'Pivot Table'!$A$3,"merchant_name",I29,"Date",M29)</f>
        <v>697</v>
      </c>
      <c r="P29" s="17" t="str">
        <f t="shared" si="1"/>
        <v>Standard</v>
      </c>
    </row>
    <row r="30" spans="1:16">
      <c r="A30" s="17" t="s">
        <v>43</v>
      </c>
      <c r="B30" s="17">
        <v>254</v>
      </c>
      <c r="C30" s="17">
        <v>26</v>
      </c>
      <c r="D30" s="18">
        <v>46045.9333333333</v>
      </c>
      <c r="E30" s="17">
        <v>99</v>
      </c>
      <c r="F30" s="17" t="s">
        <v>9</v>
      </c>
      <c r="G30" s="17" t="s">
        <v>10</v>
      </c>
      <c r="H30" s="17">
        <v>31</v>
      </c>
      <c r="I30" s="17" t="str">
        <f>IFERROR(VLOOKUP(C30,Merchants!$A$2:$D$41,2,FALSE),"Merchant not found")</f>
        <v>Merchant_026</v>
      </c>
      <c r="J30" s="17" t="str">
        <f>IFERROR(VLOOKUP(C30,Merchants!$A$2:$D$41,3,FALSE),"Merchant not found")</f>
        <v>food_delivery</v>
      </c>
      <c r="K30" s="17" t="str">
        <f>IFERROR(VLOOKUP(C30,Merchants!$A$2:$D$41,4,FALSE),"Merchant not found")</f>
        <v>East</v>
      </c>
      <c r="L30" s="19">
        <f>_xlfn.IFNA(HLOOKUP(F30,'MDR Rates'!$C$1:$F$2,2,FALSE),"N/A")</f>
        <v>0.01</v>
      </c>
      <c r="M30" s="20">
        <f t="shared" si="0"/>
        <v>46045</v>
      </c>
      <c r="N30" s="17">
        <f t="shared" si="2"/>
        <v>99</v>
      </c>
      <c r="O30" s="17">
        <f>GETPIVOTDATA("amount_inr",'Pivot Table'!$A$3,"merchant_name",I30,"Date",M30)</f>
        <v>99</v>
      </c>
      <c r="P30" s="17" t="str">
        <f t="shared" si="1"/>
        <v>Standard</v>
      </c>
    </row>
    <row r="31" spans="1:16">
      <c r="A31" s="17" t="s">
        <v>44</v>
      </c>
      <c r="B31" s="17">
        <v>3</v>
      </c>
      <c r="C31" s="17">
        <v>7</v>
      </c>
      <c r="D31" s="18">
        <v>46027.8638888889</v>
      </c>
      <c r="E31" s="17">
        <v>1499</v>
      </c>
      <c r="F31" s="17" t="s">
        <v>12</v>
      </c>
      <c r="G31" s="17" t="s">
        <v>10</v>
      </c>
      <c r="H31" s="17">
        <v>99</v>
      </c>
      <c r="I31" s="17" t="str">
        <f>IFERROR(VLOOKUP(C31,Merchants!$A$2:$D$41,2,FALSE),"Merchant not found")</f>
        <v>Merchant_007</v>
      </c>
      <c r="J31" s="17" t="str">
        <f>IFERROR(VLOOKUP(C31,Merchants!$A$2:$D$41,3,FALSE),"Merchant not found")</f>
        <v>food_delivery</v>
      </c>
      <c r="K31" s="17" t="str">
        <f>IFERROR(VLOOKUP(C31,Merchants!$A$2:$D$41,4,FALSE),"Merchant not found")</f>
        <v>East</v>
      </c>
      <c r="L31" s="19">
        <f>_xlfn.IFNA(HLOOKUP(F31,'MDR Rates'!$C$1:$F$2,2,FALSE),"N/A")</f>
        <v>0</v>
      </c>
      <c r="M31" s="20">
        <f t="shared" si="0"/>
        <v>46027</v>
      </c>
      <c r="N31" s="17">
        <f t="shared" si="2"/>
        <v>4498</v>
      </c>
      <c r="O31" s="17">
        <f>GETPIVOTDATA("amount_inr",'Pivot Table'!$A$3,"merchant_name",I31,"Date",M31)</f>
        <v>4498</v>
      </c>
      <c r="P31" s="17" t="str">
        <f t="shared" si="1"/>
        <v>Standard</v>
      </c>
    </row>
    <row r="32" spans="1:16">
      <c r="A32" s="17" t="s">
        <v>45</v>
      </c>
      <c r="B32" s="17">
        <v>266</v>
      </c>
      <c r="C32" s="17">
        <v>30</v>
      </c>
      <c r="D32" s="18">
        <v>46036.2993055556</v>
      </c>
      <c r="E32" s="17">
        <v>499</v>
      </c>
      <c r="F32" s="17" t="s">
        <v>24</v>
      </c>
      <c r="G32" s="17" t="s">
        <v>10</v>
      </c>
      <c r="H32" s="17">
        <v>6</v>
      </c>
      <c r="I32" s="17" t="str">
        <f>IFERROR(VLOOKUP(C32,Merchants!$A$2:$D$41,2,FALSE),"Merchant not found")</f>
        <v>Merchant_030</v>
      </c>
      <c r="J32" s="17" t="str">
        <f>IFERROR(VLOOKUP(C32,Merchants!$A$2:$D$41,3,FALSE),"Merchant not found")</f>
        <v>travel</v>
      </c>
      <c r="K32" s="17" t="str">
        <f>IFERROR(VLOOKUP(C32,Merchants!$A$2:$D$41,4,FALSE),"Merchant not found")</f>
        <v>West</v>
      </c>
      <c r="L32" s="19">
        <f>_xlfn.IFNA(HLOOKUP(F32,'MDR Rates'!$C$1:$F$2,2,FALSE),"N/A")</f>
        <v>0.02</v>
      </c>
      <c r="M32" s="20">
        <f t="shared" si="0"/>
        <v>46036</v>
      </c>
      <c r="N32" s="17">
        <f t="shared" si="2"/>
        <v>2497</v>
      </c>
      <c r="O32" s="17">
        <f>GETPIVOTDATA("amount_inr",'Pivot Table'!$A$3,"merchant_name",I32,"Date",M32)</f>
        <v>2497</v>
      </c>
      <c r="P32" s="17" t="str">
        <f t="shared" si="1"/>
        <v>Standard</v>
      </c>
    </row>
    <row r="33" spans="1:16">
      <c r="A33" s="17" t="s">
        <v>46</v>
      </c>
      <c r="B33" s="17">
        <v>63</v>
      </c>
      <c r="C33" s="17">
        <v>30</v>
      </c>
      <c r="D33" s="18">
        <v>46040.3319444444</v>
      </c>
      <c r="E33" s="17">
        <v>799</v>
      </c>
      <c r="F33" s="17" t="s">
        <v>12</v>
      </c>
      <c r="G33" s="17" t="s">
        <v>10</v>
      </c>
      <c r="H33" s="17">
        <v>17</v>
      </c>
      <c r="I33" s="17" t="str">
        <f>IFERROR(VLOOKUP(C33,Merchants!$A$2:$D$41,2,FALSE),"Merchant not found")</f>
        <v>Merchant_030</v>
      </c>
      <c r="J33" s="17" t="str">
        <f>IFERROR(VLOOKUP(C33,Merchants!$A$2:$D$41,3,FALSE),"Merchant not found")</f>
        <v>travel</v>
      </c>
      <c r="K33" s="17" t="str">
        <f>IFERROR(VLOOKUP(C33,Merchants!$A$2:$D$41,4,FALSE),"Merchant not found")</f>
        <v>West</v>
      </c>
      <c r="L33" s="19">
        <f>_xlfn.IFNA(HLOOKUP(F33,'MDR Rates'!$C$1:$F$2,2,FALSE),"N/A")</f>
        <v>0</v>
      </c>
      <c r="M33" s="20">
        <f t="shared" si="0"/>
        <v>46040</v>
      </c>
      <c r="N33" s="17">
        <f t="shared" si="2"/>
        <v>799</v>
      </c>
      <c r="O33" s="17">
        <f>GETPIVOTDATA("amount_inr",'Pivot Table'!$A$3,"merchant_name",I33,"Date",M33)</f>
        <v>799</v>
      </c>
      <c r="P33" s="17" t="str">
        <f t="shared" si="1"/>
        <v>Standard</v>
      </c>
    </row>
    <row r="34" spans="1:16">
      <c r="A34" s="17" t="s">
        <v>47</v>
      </c>
      <c r="B34" s="17">
        <v>272</v>
      </c>
      <c r="C34" s="17">
        <v>36</v>
      </c>
      <c r="D34" s="18">
        <v>46048.6125</v>
      </c>
      <c r="E34" s="17">
        <v>149</v>
      </c>
      <c r="F34" s="17" t="s">
        <v>12</v>
      </c>
      <c r="G34" s="17" t="s">
        <v>10</v>
      </c>
      <c r="H34" s="17">
        <v>76</v>
      </c>
      <c r="I34" s="17" t="str">
        <f>IFERROR(VLOOKUP(C34,Merchants!$A$2:$D$41,2,FALSE),"Merchant not found")</f>
        <v>Merchant_036</v>
      </c>
      <c r="J34" s="17" t="str">
        <f>IFERROR(VLOOKUP(C34,Merchants!$A$2:$D$41,3,FALSE),"Merchant not found")</f>
        <v>entertainment</v>
      </c>
      <c r="K34" s="17" t="str">
        <f>IFERROR(VLOOKUP(C34,Merchants!$A$2:$D$41,4,FALSE),"Merchant not found")</f>
        <v>East</v>
      </c>
      <c r="L34" s="19">
        <f>_xlfn.IFNA(HLOOKUP(F34,'MDR Rates'!$C$1:$F$2,2,FALSE),"N/A")</f>
        <v>0</v>
      </c>
      <c r="M34" s="20">
        <f t="shared" si="0"/>
        <v>46048</v>
      </c>
      <c r="N34" s="17">
        <f t="shared" si="2"/>
        <v>198</v>
      </c>
      <c r="O34" s="17">
        <f>GETPIVOTDATA("amount_inr",'Pivot Table'!$A$3,"merchant_name",I34,"Date",M34)</f>
        <v>198</v>
      </c>
      <c r="P34" s="17" t="str">
        <f t="shared" si="1"/>
        <v>Standard</v>
      </c>
    </row>
    <row r="35" spans="1:16">
      <c r="A35" s="17" t="s">
        <v>48</v>
      </c>
      <c r="B35" s="17">
        <v>259</v>
      </c>
      <c r="C35" s="17">
        <v>28</v>
      </c>
      <c r="D35" s="18">
        <v>46033.6104166667</v>
      </c>
      <c r="E35" s="17">
        <v>49</v>
      </c>
      <c r="F35" s="17" t="s">
        <v>9</v>
      </c>
      <c r="G35" s="17" t="s">
        <v>10</v>
      </c>
      <c r="H35" s="17">
        <v>70</v>
      </c>
      <c r="I35" s="17" t="str">
        <f>IFERROR(VLOOKUP(C35,Merchants!$A$2:$D$41,2,FALSE),"Merchant not found")</f>
        <v>Merchant_028</v>
      </c>
      <c r="J35" s="17" t="str">
        <f>IFERROR(VLOOKUP(C35,Merchants!$A$2:$D$41,3,FALSE),"Merchant not found")</f>
        <v>ecommerce</v>
      </c>
      <c r="K35" s="17" t="str">
        <f>IFERROR(VLOOKUP(C35,Merchants!$A$2:$D$41,4,FALSE),"Merchant not found")</f>
        <v>South</v>
      </c>
      <c r="L35" s="19">
        <f>_xlfn.IFNA(HLOOKUP(F35,'MDR Rates'!$C$1:$F$2,2,FALSE),"N/A")</f>
        <v>0.01</v>
      </c>
      <c r="M35" s="20">
        <f t="shared" si="0"/>
        <v>46033</v>
      </c>
      <c r="N35" s="17">
        <f t="shared" si="2"/>
        <v>49</v>
      </c>
      <c r="O35" s="17">
        <f>GETPIVOTDATA("amount_inr",'Pivot Table'!$A$3,"merchant_name",I35,"Date",M35)</f>
        <v>49</v>
      </c>
      <c r="P35" s="17" t="str">
        <f t="shared" si="1"/>
        <v>Standard</v>
      </c>
    </row>
    <row r="36" spans="1:16">
      <c r="A36" s="17" t="s">
        <v>49</v>
      </c>
      <c r="B36" s="17">
        <v>244</v>
      </c>
      <c r="C36" s="17">
        <v>29</v>
      </c>
      <c r="D36" s="18">
        <v>46037.2409722222</v>
      </c>
      <c r="E36" s="17">
        <v>299</v>
      </c>
      <c r="F36" s="17" t="s">
        <v>15</v>
      </c>
      <c r="G36" s="17" t="s">
        <v>10</v>
      </c>
      <c r="H36" s="17">
        <v>33</v>
      </c>
      <c r="I36" s="17" t="str">
        <f>IFERROR(VLOOKUP(C36,Merchants!$A$2:$D$41,2,FALSE),"Merchant not found")</f>
        <v>Merchant_029</v>
      </c>
      <c r="J36" s="17" t="str">
        <f>IFERROR(VLOOKUP(C36,Merchants!$A$2:$D$41,3,FALSE),"Merchant not found")</f>
        <v>ecommerce</v>
      </c>
      <c r="K36" s="17" t="str">
        <f>IFERROR(VLOOKUP(C36,Merchants!$A$2:$D$41,4,FALSE),"Merchant not found")</f>
        <v>North</v>
      </c>
      <c r="L36" s="19">
        <f>_xlfn.IFNA(HLOOKUP(F36,'MDR Rates'!$C$1:$F$2,2,FALSE),"N/A")</f>
        <v>0.015</v>
      </c>
      <c r="M36" s="20">
        <f t="shared" si="0"/>
        <v>46037</v>
      </c>
      <c r="N36" s="17">
        <f t="shared" si="2"/>
        <v>1098</v>
      </c>
      <c r="O36" s="17">
        <f>GETPIVOTDATA("amount_inr",'Pivot Table'!$A$3,"merchant_name",I36,"Date",M36)</f>
        <v>1098</v>
      </c>
      <c r="P36" s="17" t="str">
        <f t="shared" si="1"/>
        <v>Standard</v>
      </c>
    </row>
    <row r="37" spans="1:16">
      <c r="A37" s="17" t="s">
        <v>50</v>
      </c>
      <c r="B37" s="17">
        <v>327</v>
      </c>
      <c r="C37" s="17">
        <v>18</v>
      </c>
      <c r="D37" s="18">
        <v>46047.3284722222</v>
      </c>
      <c r="E37" s="17">
        <v>149</v>
      </c>
      <c r="F37" s="17" t="s">
        <v>24</v>
      </c>
      <c r="G37" s="17" t="s">
        <v>10</v>
      </c>
      <c r="H37" s="17">
        <v>98</v>
      </c>
      <c r="I37" s="17" t="str">
        <f>IFERROR(VLOOKUP(C37,Merchants!$A$2:$D$41,2,FALSE),"Merchant not found")</f>
        <v>Merchant_018</v>
      </c>
      <c r="J37" s="17" t="str">
        <f>IFERROR(VLOOKUP(C37,Merchants!$A$2:$D$41,3,FALSE),"Merchant not found")</f>
        <v>grocery</v>
      </c>
      <c r="K37" s="17" t="str">
        <f>IFERROR(VLOOKUP(C37,Merchants!$A$2:$D$41,4,FALSE),"Merchant not found")</f>
        <v>West</v>
      </c>
      <c r="L37" s="19">
        <f>_xlfn.IFNA(HLOOKUP(F37,'MDR Rates'!$C$1:$F$2,2,FALSE),"N/A")</f>
        <v>0.02</v>
      </c>
      <c r="M37" s="20">
        <f t="shared" si="0"/>
        <v>46047</v>
      </c>
      <c r="N37" s="17">
        <f t="shared" si="2"/>
        <v>1648</v>
      </c>
      <c r="O37" s="17">
        <f>GETPIVOTDATA("amount_inr",'Pivot Table'!$A$3,"merchant_name",I37,"Date",M37)</f>
        <v>1648</v>
      </c>
      <c r="P37" s="17" t="str">
        <f t="shared" si="1"/>
        <v>Standard</v>
      </c>
    </row>
    <row r="38" spans="1:16">
      <c r="A38" s="17" t="s">
        <v>51</v>
      </c>
      <c r="B38" s="17">
        <v>321</v>
      </c>
      <c r="C38" s="17">
        <v>16</v>
      </c>
      <c r="D38" s="18">
        <v>46047.6881944444</v>
      </c>
      <c r="E38" s="17">
        <v>49</v>
      </c>
      <c r="F38" s="17" t="s">
        <v>12</v>
      </c>
      <c r="G38" s="17" t="s">
        <v>10</v>
      </c>
      <c r="H38" s="17">
        <v>35</v>
      </c>
      <c r="I38" s="17" t="str">
        <f>IFERROR(VLOOKUP(C38,Merchants!$A$2:$D$41,2,FALSE),"Merchant not found")</f>
        <v>Merchant_016</v>
      </c>
      <c r="J38" s="17" t="str">
        <f>IFERROR(VLOOKUP(C38,Merchants!$A$2:$D$41,3,FALSE),"Merchant not found")</f>
        <v>bill_payment</v>
      </c>
      <c r="K38" s="17" t="str">
        <f>IFERROR(VLOOKUP(C38,Merchants!$A$2:$D$41,4,FALSE),"Merchant not found")</f>
        <v>West</v>
      </c>
      <c r="L38" s="19">
        <f>_xlfn.IFNA(HLOOKUP(F38,'MDR Rates'!$C$1:$F$2,2,FALSE),"N/A")</f>
        <v>0</v>
      </c>
      <c r="M38" s="20">
        <f t="shared" si="0"/>
        <v>46047</v>
      </c>
      <c r="N38" s="17">
        <f t="shared" si="2"/>
        <v>98</v>
      </c>
      <c r="O38" s="17">
        <f>GETPIVOTDATA("amount_inr",'Pivot Table'!$A$3,"merchant_name",I38,"Date",M38)</f>
        <v>98</v>
      </c>
      <c r="P38" s="17" t="str">
        <f t="shared" si="1"/>
        <v>Standard</v>
      </c>
    </row>
    <row r="39" spans="1:16">
      <c r="A39" s="17" t="s">
        <v>52</v>
      </c>
      <c r="B39" s="17">
        <v>147</v>
      </c>
      <c r="C39" s="17">
        <v>16</v>
      </c>
      <c r="D39" s="18">
        <v>46037.1145833333</v>
      </c>
      <c r="E39" s="17">
        <v>2999</v>
      </c>
      <c r="F39" s="17" t="s">
        <v>24</v>
      </c>
      <c r="G39" s="17" t="s">
        <v>10</v>
      </c>
      <c r="H39" s="17">
        <v>34</v>
      </c>
      <c r="I39" s="17" t="str">
        <f>IFERROR(VLOOKUP(C39,Merchants!$A$2:$D$41,2,FALSE),"Merchant not found")</f>
        <v>Merchant_016</v>
      </c>
      <c r="J39" s="17" t="str">
        <f>IFERROR(VLOOKUP(C39,Merchants!$A$2:$D$41,3,FALSE),"Merchant not found")</f>
        <v>bill_payment</v>
      </c>
      <c r="K39" s="17" t="str">
        <f>IFERROR(VLOOKUP(C39,Merchants!$A$2:$D$41,4,FALSE),"Merchant not found")</f>
        <v>West</v>
      </c>
      <c r="L39" s="19">
        <f>_xlfn.IFNA(HLOOKUP(F39,'MDR Rates'!$C$1:$F$2,2,FALSE),"N/A")</f>
        <v>0.02</v>
      </c>
      <c r="M39" s="20">
        <f t="shared" si="0"/>
        <v>46037</v>
      </c>
      <c r="N39" s="17">
        <f t="shared" si="2"/>
        <v>2999</v>
      </c>
      <c r="O39" s="17">
        <f>GETPIVOTDATA("amount_inr",'Pivot Table'!$A$3,"merchant_name",I39,"Date",M39)</f>
        <v>2999</v>
      </c>
      <c r="P39" s="17" t="str">
        <f t="shared" si="1"/>
        <v>Standard</v>
      </c>
    </row>
    <row r="40" spans="1:16">
      <c r="A40" s="17" t="s">
        <v>53</v>
      </c>
      <c r="B40" s="17">
        <v>277</v>
      </c>
      <c r="C40" s="17">
        <v>6</v>
      </c>
      <c r="D40" s="18">
        <v>46033.45625</v>
      </c>
      <c r="E40" s="17">
        <v>1499</v>
      </c>
      <c r="F40" s="17" t="s">
        <v>24</v>
      </c>
      <c r="G40" s="17" t="s">
        <v>10</v>
      </c>
      <c r="H40" s="17">
        <v>17</v>
      </c>
      <c r="I40" s="17" t="str">
        <f>IFERROR(VLOOKUP(C40,Merchants!$A$2:$D$41,2,FALSE),"Merchant not found")</f>
        <v>Merchant_006</v>
      </c>
      <c r="J40" s="17" t="str">
        <f>IFERROR(VLOOKUP(C40,Merchants!$A$2:$D$41,3,FALSE),"Merchant not found")</f>
        <v>food_delivery</v>
      </c>
      <c r="K40" s="17" t="str">
        <f>IFERROR(VLOOKUP(C40,Merchants!$A$2:$D$41,4,FALSE),"Merchant not found")</f>
        <v>South</v>
      </c>
      <c r="L40" s="19">
        <f>_xlfn.IFNA(HLOOKUP(F40,'MDR Rates'!$C$1:$F$2,2,FALSE),"N/A")</f>
        <v>0.02</v>
      </c>
      <c r="M40" s="20">
        <f t="shared" si="0"/>
        <v>46033</v>
      </c>
      <c r="N40" s="17">
        <f t="shared" si="2"/>
        <v>1499</v>
      </c>
      <c r="O40" s="17">
        <f>GETPIVOTDATA("amount_inr",'Pivot Table'!$A$3,"merchant_name",I40,"Date",M40)</f>
        <v>1499</v>
      </c>
      <c r="P40" s="17" t="str">
        <f t="shared" si="1"/>
        <v>Standard</v>
      </c>
    </row>
    <row r="41" spans="1:16">
      <c r="A41" s="17" t="s">
        <v>54</v>
      </c>
      <c r="B41" s="17">
        <v>79</v>
      </c>
      <c r="C41" s="17">
        <v>14</v>
      </c>
      <c r="D41" s="18">
        <v>46027.3083333333</v>
      </c>
      <c r="E41" s="17">
        <v>1499</v>
      </c>
      <c r="F41" s="17" t="s">
        <v>12</v>
      </c>
      <c r="G41" s="17" t="s">
        <v>10</v>
      </c>
      <c r="H41" s="17">
        <v>8</v>
      </c>
      <c r="I41" s="17" t="str">
        <f>IFERROR(VLOOKUP(C41,Merchants!$A$2:$D$41,2,FALSE),"Merchant not found")</f>
        <v>Merchant_014</v>
      </c>
      <c r="J41" s="17" t="str">
        <f>IFERROR(VLOOKUP(C41,Merchants!$A$2:$D$41,3,FALSE),"Merchant not found")</f>
        <v>grocery</v>
      </c>
      <c r="K41" s="17" t="str">
        <f>IFERROR(VLOOKUP(C41,Merchants!$A$2:$D$41,4,FALSE),"Merchant not found")</f>
        <v>East</v>
      </c>
      <c r="L41" s="19">
        <f>_xlfn.IFNA(HLOOKUP(F41,'MDR Rates'!$C$1:$F$2,2,FALSE),"N/A")</f>
        <v>0</v>
      </c>
      <c r="M41" s="20">
        <f t="shared" si="0"/>
        <v>46027</v>
      </c>
      <c r="N41" s="17">
        <f t="shared" si="2"/>
        <v>1499</v>
      </c>
      <c r="O41" s="17">
        <f>GETPIVOTDATA("amount_inr",'Pivot Table'!$A$3,"merchant_name",I41,"Date",M41)</f>
        <v>1499</v>
      </c>
      <c r="P41" s="17" t="str">
        <f t="shared" si="1"/>
        <v>Standard</v>
      </c>
    </row>
    <row r="42" spans="1:16">
      <c r="A42" s="17" t="s">
        <v>55</v>
      </c>
      <c r="B42" s="17">
        <v>278</v>
      </c>
      <c r="C42" s="17">
        <v>30</v>
      </c>
      <c r="D42" s="18">
        <v>46036.55625</v>
      </c>
      <c r="E42" s="17">
        <v>1499</v>
      </c>
      <c r="F42" s="17" t="s">
        <v>12</v>
      </c>
      <c r="G42" s="17" t="s">
        <v>10</v>
      </c>
      <c r="H42" s="17">
        <v>53</v>
      </c>
      <c r="I42" s="17" t="str">
        <f>IFERROR(VLOOKUP(C42,Merchants!$A$2:$D$41,2,FALSE),"Merchant not found")</f>
        <v>Merchant_030</v>
      </c>
      <c r="J42" s="17" t="str">
        <f>IFERROR(VLOOKUP(C42,Merchants!$A$2:$D$41,3,FALSE),"Merchant not found")</f>
        <v>travel</v>
      </c>
      <c r="K42" s="17" t="str">
        <f>IFERROR(VLOOKUP(C42,Merchants!$A$2:$D$41,4,FALSE),"Merchant not found")</f>
        <v>West</v>
      </c>
      <c r="L42" s="19">
        <f>_xlfn.IFNA(HLOOKUP(F42,'MDR Rates'!$C$1:$F$2,2,FALSE),"N/A")</f>
        <v>0</v>
      </c>
      <c r="M42" s="20">
        <f t="shared" si="0"/>
        <v>46036</v>
      </c>
      <c r="N42" s="17">
        <f t="shared" si="2"/>
        <v>2497</v>
      </c>
      <c r="O42" s="17">
        <f>GETPIVOTDATA("amount_inr",'Pivot Table'!$A$3,"merchant_name",I42,"Date",M42)</f>
        <v>2497</v>
      </c>
      <c r="P42" s="17" t="str">
        <f t="shared" si="1"/>
        <v>Standard</v>
      </c>
    </row>
    <row r="43" spans="1:16">
      <c r="A43" s="17" t="s">
        <v>56</v>
      </c>
      <c r="B43" s="17">
        <v>216</v>
      </c>
      <c r="C43" s="17">
        <v>25</v>
      </c>
      <c r="D43" s="18">
        <v>46024.2868055556</v>
      </c>
      <c r="E43" s="17">
        <v>99</v>
      </c>
      <c r="F43" s="17" t="s">
        <v>12</v>
      </c>
      <c r="G43" s="17" t="s">
        <v>10</v>
      </c>
      <c r="H43" s="17">
        <v>98</v>
      </c>
      <c r="I43" s="17" t="str">
        <f>IFERROR(VLOOKUP(C43,Merchants!$A$2:$D$41,2,FALSE),"Merchant not found")</f>
        <v>Merchant_025</v>
      </c>
      <c r="J43" s="17" t="str">
        <f>IFERROR(VLOOKUP(C43,Merchants!$A$2:$D$41,3,FALSE),"Merchant not found")</f>
        <v>travel</v>
      </c>
      <c r="K43" s="17" t="str">
        <f>IFERROR(VLOOKUP(C43,Merchants!$A$2:$D$41,4,FALSE),"Merchant not found")</f>
        <v>South</v>
      </c>
      <c r="L43" s="19">
        <f>_xlfn.IFNA(HLOOKUP(F43,'MDR Rates'!$C$1:$F$2,2,FALSE),"N/A")</f>
        <v>0</v>
      </c>
      <c r="M43" s="20">
        <f t="shared" si="0"/>
        <v>46024</v>
      </c>
      <c r="N43" s="17">
        <f t="shared" si="2"/>
        <v>99</v>
      </c>
      <c r="O43" s="17">
        <f>GETPIVOTDATA("amount_inr",'Pivot Table'!$A$3,"merchant_name",I43,"Date",M43)</f>
        <v>99</v>
      </c>
      <c r="P43" s="17" t="str">
        <f t="shared" si="1"/>
        <v>Standard</v>
      </c>
    </row>
    <row r="44" spans="1:16">
      <c r="A44" s="17" t="s">
        <v>57</v>
      </c>
      <c r="B44" s="17">
        <v>295</v>
      </c>
      <c r="C44" s="17">
        <v>25</v>
      </c>
      <c r="D44" s="18">
        <v>46041.9173611111</v>
      </c>
      <c r="E44" s="17">
        <v>1499</v>
      </c>
      <c r="F44" s="17" t="s">
        <v>12</v>
      </c>
      <c r="G44" s="17" t="s">
        <v>10</v>
      </c>
      <c r="H44" s="17">
        <v>61</v>
      </c>
      <c r="I44" s="17" t="str">
        <f>IFERROR(VLOOKUP(C44,Merchants!$A$2:$D$41,2,FALSE),"Merchant not found")</f>
        <v>Merchant_025</v>
      </c>
      <c r="J44" s="17" t="str">
        <f>IFERROR(VLOOKUP(C44,Merchants!$A$2:$D$41,3,FALSE),"Merchant not found")</f>
        <v>travel</v>
      </c>
      <c r="K44" s="17" t="str">
        <f>IFERROR(VLOOKUP(C44,Merchants!$A$2:$D$41,4,FALSE),"Merchant not found")</f>
        <v>South</v>
      </c>
      <c r="L44" s="19">
        <f>_xlfn.IFNA(HLOOKUP(F44,'MDR Rates'!$C$1:$F$2,2,FALSE),"N/A")</f>
        <v>0</v>
      </c>
      <c r="M44" s="20">
        <f t="shared" si="0"/>
        <v>46041</v>
      </c>
      <c r="N44" s="17">
        <f t="shared" si="2"/>
        <v>4498</v>
      </c>
      <c r="O44" s="17">
        <f>GETPIVOTDATA("amount_inr",'Pivot Table'!$A$3,"merchant_name",I44,"Date",M44)</f>
        <v>4498</v>
      </c>
      <c r="P44" s="17" t="str">
        <f t="shared" si="1"/>
        <v>Standard</v>
      </c>
    </row>
    <row r="45" spans="1:16">
      <c r="A45" s="17" t="s">
        <v>58</v>
      </c>
      <c r="B45" s="17">
        <v>200</v>
      </c>
      <c r="C45" s="17">
        <v>27</v>
      </c>
      <c r="D45" s="18">
        <v>46023.4715277778</v>
      </c>
      <c r="E45" s="17">
        <v>149</v>
      </c>
      <c r="F45" s="17" t="s">
        <v>12</v>
      </c>
      <c r="G45" s="17" t="s">
        <v>10</v>
      </c>
      <c r="H45" s="17">
        <v>68</v>
      </c>
      <c r="I45" s="17" t="str">
        <f>IFERROR(VLOOKUP(C45,Merchants!$A$2:$D$41,2,FALSE),"Merchant not found")</f>
        <v>Merchant_027</v>
      </c>
      <c r="J45" s="17" t="str">
        <f>IFERROR(VLOOKUP(C45,Merchants!$A$2:$D$41,3,FALSE),"Merchant not found")</f>
        <v>ecommerce</v>
      </c>
      <c r="K45" s="17" t="str">
        <f>IFERROR(VLOOKUP(C45,Merchants!$A$2:$D$41,4,FALSE),"Merchant not found")</f>
        <v>North</v>
      </c>
      <c r="L45" s="19">
        <f>_xlfn.IFNA(HLOOKUP(F45,'MDR Rates'!$C$1:$F$2,2,FALSE),"N/A")</f>
        <v>0</v>
      </c>
      <c r="M45" s="20">
        <f t="shared" si="0"/>
        <v>46023</v>
      </c>
      <c r="N45" s="17">
        <f t="shared" si="2"/>
        <v>149</v>
      </c>
      <c r="O45" s="17">
        <f>GETPIVOTDATA("amount_inr",'Pivot Table'!$A$3,"merchant_name",I45,"Date",M45)</f>
        <v>149</v>
      </c>
      <c r="P45" s="17" t="str">
        <f t="shared" si="1"/>
        <v>Standard</v>
      </c>
    </row>
    <row r="46" spans="1:16">
      <c r="A46" s="17" t="s">
        <v>59</v>
      </c>
      <c r="B46" s="17">
        <v>309</v>
      </c>
      <c r="C46" s="17">
        <v>15</v>
      </c>
      <c r="D46" s="18">
        <v>46046.9819444444</v>
      </c>
      <c r="E46" s="17">
        <v>99</v>
      </c>
      <c r="F46" s="17" t="s">
        <v>15</v>
      </c>
      <c r="G46" s="17" t="s">
        <v>10</v>
      </c>
      <c r="H46" s="17">
        <v>62</v>
      </c>
      <c r="I46" s="17" t="str">
        <f>IFERROR(VLOOKUP(C46,Merchants!$A$2:$D$41,2,FALSE),"Merchant not found")</f>
        <v>Merchant_015</v>
      </c>
      <c r="J46" s="17" t="str">
        <f>IFERROR(VLOOKUP(C46,Merchants!$A$2:$D$41,3,FALSE),"Merchant not found")</f>
        <v>travel</v>
      </c>
      <c r="K46" s="17" t="str">
        <f>IFERROR(VLOOKUP(C46,Merchants!$A$2:$D$41,4,FALSE),"Merchant not found")</f>
        <v>North</v>
      </c>
      <c r="L46" s="19">
        <f>_xlfn.IFNA(HLOOKUP(F46,'MDR Rates'!$C$1:$F$2,2,FALSE),"N/A")</f>
        <v>0.015</v>
      </c>
      <c r="M46" s="20">
        <f t="shared" si="0"/>
        <v>46046</v>
      </c>
      <c r="N46" s="17">
        <f t="shared" si="2"/>
        <v>148</v>
      </c>
      <c r="O46" s="17">
        <f>GETPIVOTDATA("amount_inr",'Pivot Table'!$A$3,"merchant_name",I46,"Date",M46)</f>
        <v>148</v>
      </c>
      <c r="P46" s="17" t="str">
        <f t="shared" si="1"/>
        <v>Standard</v>
      </c>
    </row>
    <row r="47" spans="1:16">
      <c r="A47" s="17" t="s">
        <v>60</v>
      </c>
      <c r="B47" s="17">
        <v>249</v>
      </c>
      <c r="C47" s="17">
        <v>2</v>
      </c>
      <c r="D47" s="18">
        <v>46030.3520833333</v>
      </c>
      <c r="E47" s="17">
        <v>299</v>
      </c>
      <c r="F47" s="17" t="s">
        <v>9</v>
      </c>
      <c r="G47" s="17" t="s">
        <v>10</v>
      </c>
      <c r="H47" s="17">
        <v>49</v>
      </c>
      <c r="I47" s="17" t="str">
        <f>IFERROR(VLOOKUP(C47,Merchants!$A$2:$D$41,2,FALSE),"Merchant not found")</f>
        <v>Merchant_002</v>
      </c>
      <c r="J47" s="17" t="str">
        <f>IFERROR(VLOOKUP(C47,Merchants!$A$2:$D$41,3,FALSE),"Merchant not found")</f>
        <v>grocery</v>
      </c>
      <c r="K47" s="17" t="str">
        <f>IFERROR(VLOOKUP(C47,Merchants!$A$2:$D$41,4,FALSE),"Merchant not found")</f>
        <v>West</v>
      </c>
      <c r="L47" s="19">
        <f>_xlfn.IFNA(HLOOKUP(F47,'MDR Rates'!$C$1:$F$2,2,FALSE),"N/A")</f>
        <v>0.01</v>
      </c>
      <c r="M47" s="20">
        <f t="shared" si="0"/>
        <v>46030</v>
      </c>
      <c r="N47" s="17">
        <f t="shared" si="2"/>
        <v>299</v>
      </c>
      <c r="O47" s="17">
        <f>GETPIVOTDATA("amount_inr",'Pivot Table'!$A$3,"merchant_name",I47,"Date",M47)</f>
        <v>299</v>
      </c>
      <c r="P47" s="17" t="str">
        <f t="shared" si="1"/>
        <v>Standard</v>
      </c>
    </row>
    <row r="48" spans="1:16">
      <c r="A48" s="17" t="s">
        <v>61</v>
      </c>
      <c r="B48" s="17">
        <v>208</v>
      </c>
      <c r="C48" s="17">
        <v>11</v>
      </c>
      <c r="D48" s="18">
        <v>46033.9048611111</v>
      </c>
      <c r="E48" s="17">
        <v>4999</v>
      </c>
      <c r="F48" s="17" t="s">
        <v>15</v>
      </c>
      <c r="G48" s="17" t="s">
        <v>10</v>
      </c>
      <c r="H48" s="17">
        <v>59</v>
      </c>
      <c r="I48" s="17" t="str">
        <f>IFERROR(VLOOKUP(C48,Merchants!$A$2:$D$41,2,FALSE),"Merchant not found")</f>
        <v>Merchant_011</v>
      </c>
      <c r="J48" s="17" t="str">
        <f>IFERROR(VLOOKUP(C48,Merchants!$A$2:$D$41,3,FALSE),"Merchant not found")</f>
        <v>ecommerce</v>
      </c>
      <c r="K48" s="17" t="str">
        <f>IFERROR(VLOOKUP(C48,Merchants!$A$2:$D$41,4,FALSE),"Merchant not found")</f>
        <v>North</v>
      </c>
      <c r="L48" s="19">
        <f>_xlfn.IFNA(HLOOKUP(F48,'MDR Rates'!$C$1:$F$2,2,FALSE),"N/A")</f>
        <v>0.015</v>
      </c>
      <c r="M48" s="20">
        <f t="shared" si="0"/>
        <v>46033</v>
      </c>
      <c r="N48" s="17">
        <f t="shared" si="2"/>
        <v>4999</v>
      </c>
      <c r="O48" s="17">
        <f>GETPIVOTDATA("amount_inr",'Pivot Table'!$A$3,"merchant_name",I48,"Date",M48)</f>
        <v>4999</v>
      </c>
      <c r="P48" s="17" t="str">
        <f t="shared" si="1"/>
        <v>Standard</v>
      </c>
    </row>
    <row r="49" spans="1:16">
      <c r="A49" s="17" t="s">
        <v>62</v>
      </c>
      <c r="B49" s="17">
        <v>274</v>
      </c>
      <c r="C49" s="17">
        <v>2</v>
      </c>
      <c r="D49" s="18">
        <v>46052.19375</v>
      </c>
      <c r="E49" s="17">
        <v>299</v>
      </c>
      <c r="F49" s="17" t="s">
        <v>12</v>
      </c>
      <c r="G49" s="17" t="s">
        <v>10</v>
      </c>
      <c r="H49" s="17">
        <v>50</v>
      </c>
      <c r="I49" s="17" t="str">
        <f>IFERROR(VLOOKUP(C49,Merchants!$A$2:$D$41,2,FALSE),"Merchant not found")</f>
        <v>Merchant_002</v>
      </c>
      <c r="J49" s="17" t="str">
        <f>IFERROR(VLOOKUP(C49,Merchants!$A$2:$D$41,3,FALSE),"Merchant not found")</f>
        <v>grocery</v>
      </c>
      <c r="K49" s="17" t="str">
        <f>IFERROR(VLOOKUP(C49,Merchants!$A$2:$D$41,4,FALSE),"Merchant not found")</f>
        <v>West</v>
      </c>
      <c r="L49" s="19">
        <f>_xlfn.IFNA(HLOOKUP(F49,'MDR Rates'!$C$1:$F$2,2,FALSE),"N/A")</f>
        <v>0</v>
      </c>
      <c r="M49" s="20">
        <f t="shared" si="0"/>
        <v>46052</v>
      </c>
      <c r="N49" s="17">
        <f t="shared" si="2"/>
        <v>299</v>
      </c>
      <c r="O49" s="17">
        <f>GETPIVOTDATA("amount_inr",'Pivot Table'!$A$3,"merchant_name",I49,"Date",M49)</f>
        <v>299</v>
      </c>
      <c r="P49" s="17" t="str">
        <f t="shared" si="1"/>
        <v>Standard</v>
      </c>
    </row>
    <row r="50" spans="1:16">
      <c r="A50" s="17" t="s">
        <v>63</v>
      </c>
      <c r="B50" s="17">
        <v>14</v>
      </c>
      <c r="C50" s="17">
        <v>6</v>
      </c>
      <c r="D50" s="18">
        <v>46041.7791666667</v>
      </c>
      <c r="E50" s="17">
        <v>49</v>
      </c>
      <c r="F50" s="17" t="s">
        <v>9</v>
      </c>
      <c r="G50" s="17" t="s">
        <v>10</v>
      </c>
      <c r="H50" s="17">
        <v>82</v>
      </c>
      <c r="I50" s="17" t="str">
        <f>IFERROR(VLOOKUP(C50,Merchants!$A$2:$D$41,2,FALSE),"Merchant not found")</f>
        <v>Merchant_006</v>
      </c>
      <c r="J50" s="17" t="str">
        <f>IFERROR(VLOOKUP(C50,Merchants!$A$2:$D$41,3,FALSE),"Merchant not found")</f>
        <v>food_delivery</v>
      </c>
      <c r="K50" s="17" t="str">
        <f>IFERROR(VLOOKUP(C50,Merchants!$A$2:$D$41,4,FALSE),"Merchant not found")</f>
        <v>South</v>
      </c>
      <c r="L50" s="19">
        <f>_xlfn.IFNA(HLOOKUP(F50,'MDR Rates'!$C$1:$F$2,2,FALSE),"N/A")</f>
        <v>0.01</v>
      </c>
      <c r="M50" s="20">
        <f t="shared" si="0"/>
        <v>46041</v>
      </c>
      <c r="N50" s="17">
        <f t="shared" si="2"/>
        <v>49</v>
      </c>
      <c r="O50" s="17">
        <f>GETPIVOTDATA("amount_inr",'Pivot Table'!$A$3,"merchant_name",I50,"Date",M50)</f>
        <v>49</v>
      </c>
      <c r="P50" s="17" t="str">
        <f t="shared" si="1"/>
        <v>Standard</v>
      </c>
    </row>
    <row r="51" spans="1:16">
      <c r="A51" s="17" t="s">
        <v>64</v>
      </c>
      <c r="B51" s="17">
        <v>237</v>
      </c>
      <c r="C51" s="17">
        <v>12</v>
      </c>
      <c r="D51" s="18">
        <v>46036.2048611111</v>
      </c>
      <c r="E51" s="17">
        <v>49</v>
      </c>
      <c r="F51" s="17" t="s">
        <v>12</v>
      </c>
      <c r="G51" s="17" t="s">
        <v>10</v>
      </c>
      <c r="H51" s="17">
        <v>6</v>
      </c>
      <c r="I51" s="17" t="str">
        <f>IFERROR(VLOOKUP(C51,Merchants!$A$2:$D$41,2,FALSE),"Merchant not found")</f>
        <v>Merchant_012</v>
      </c>
      <c r="J51" s="17" t="str">
        <f>IFERROR(VLOOKUP(C51,Merchants!$A$2:$D$41,3,FALSE),"Merchant not found")</f>
        <v>ecommerce</v>
      </c>
      <c r="K51" s="17" t="str">
        <f>IFERROR(VLOOKUP(C51,Merchants!$A$2:$D$41,4,FALSE),"Merchant not found")</f>
        <v>East</v>
      </c>
      <c r="L51" s="19">
        <f>_xlfn.IFNA(HLOOKUP(F51,'MDR Rates'!$C$1:$F$2,2,FALSE),"N/A")</f>
        <v>0</v>
      </c>
      <c r="M51" s="20">
        <f t="shared" si="0"/>
        <v>46036</v>
      </c>
      <c r="N51" s="17">
        <f t="shared" si="2"/>
        <v>548</v>
      </c>
      <c r="O51" s="17">
        <f>GETPIVOTDATA("amount_inr",'Pivot Table'!$A$3,"merchant_name",I51,"Date",M51)</f>
        <v>548</v>
      </c>
      <c r="P51" s="17" t="str">
        <f t="shared" si="1"/>
        <v>Standard</v>
      </c>
    </row>
    <row r="52" spans="1:16">
      <c r="A52" s="17" t="s">
        <v>65</v>
      </c>
      <c r="B52" s="17">
        <v>109</v>
      </c>
      <c r="C52" s="17">
        <v>30</v>
      </c>
      <c r="D52" s="18">
        <v>46031.5138888889</v>
      </c>
      <c r="E52" s="17">
        <v>99</v>
      </c>
      <c r="F52" s="17" t="s">
        <v>12</v>
      </c>
      <c r="G52" s="17" t="s">
        <v>10</v>
      </c>
      <c r="H52" s="17">
        <v>41</v>
      </c>
      <c r="I52" s="17" t="str">
        <f>IFERROR(VLOOKUP(C52,Merchants!$A$2:$D$41,2,FALSE),"Merchant not found")</f>
        <v>Merchant_030</v>
      </c>
      <c r="J52" s="17" t="str">
        <f>IFERROR(VLOOKUP(C52,Merchants!$A$2:$D$41,3,FALSE),"Merchant not found")</f>
        <v>travel</v>
      </c>
      <c r="K52" s="17" t="str">
        <f>IFERROR(VLOOKUP(C52,Merchants!$A$2:$D$41,4,FALSE),"Merchant not found")</f>
        <v>West</v>
      </c>
      <c r="L52" s="19">
        <f>_xlfn.IFNA(HLOOKUP(F52,'MDR Rates'!$C$1:$F$2,2,FALSE),"N/A")</f>
        <v>0</v>
      </c>
      <c r="M52" s="20">
        <f t="shared" si="0"/>
        <v>46031</v>
      </c>
      <c r="N52" s="17">
        <f t="shared" si="2"/>
        <v>99</v>
      </c>
      <c r="O52" s="17">
        <f>GETPIVOTDATA("amount_inr",'Pivot Table'!$A$3,"merchant_name",I52,"Date",M52)</f>
        <v>99</v>
      </c>
      <c r="P52" s="17" t="str">
        <f t="shared" si="1"/>
        <v>Standard</v>
      </c>
    </row>
    <row r="53" spans="1:16">
      <c r="A53" s="17" t="s">
        <v>66</v>
      </c>
      <c r="B53" s="17">
        <v>216</v>
      </c>
      <c r="C53" s="17">
        <v>17</v>
      </c>
      <c r="D53" s="18">
        <v>46033.5118055556</v>
      </c>
      <c r="E53" s="17">
        <v>4999</v>
      </c>
      <c r="F53" s="17" t="s">
        <v>12</v>
      </c>
      <c r="G53" s="17" t="s">
        <v>10</v>
      </c>
      <c r="H53" s="17">
        <v>10</v>
      </c>
      <c r="I53" s="17" t="str">
        <f>IFERROR(VLOOKUP(C53,Merchants!$A$2:$D$41,2,FALSE),"Merchant not found")</f>
        <v>Merchant_017</v>
      </c>
      <c r="J53" s="17" t="str">
        <f>IFERROR(VLOOKUP(C53,Merchants!$A$2:$D$41,3,FALSE),"Merchant not found")</f>
        <v>grocery</v>
      </c>
      <c r="K53" s="17" t="str">
        <f>IFERROR(VLOOKUP(C53,Merchants!$A$2:$D$41,4,FALSE),"Merchant not found")</f>
        <v>North</v>
      </c>
      <c r="L53" s="19">
        <f>_xlfn.IFNA(HLOOKUP(F53,'MDR Rates'!$C$1:$F$2,2,FALSE),"N/A")</f>
        <v>0</v>
      </c>
      <c r="M53" s="20">
        <f t="shared" si="0"/>
        <v>46033</v>
      </c>
      <c r="N53" s="17">
        <f t="shared" si="2"/>
        <v>7998</v>
      </c>
      <c r="O53" s="17">
        <f>GETPIVOTDATA("amount_inr",'Pivot Table'!$A$3,"merchant_name",I53,"Date",M53)</f>
        <v>7998</v>
      </c>
      <c r="P53" s="17" t="str">
        <f t="shared" si="1"/>
        <v>High-Value Merchant Day</v>
      </c>
    </row>
    <row r="54" spans="1:16">
      <c r="A54" s="17" t="s">
        <v>67</v>
      </c>
      <c r="B54" s="17">
        <v>277</v>
      </c>
      <c r="C54" s="17">
        <v>4</v>
      </c>
      <c r="D54" s="18">
        <v>46038.0326388889</v>
      </c>
      <c r="E54" s="17">
        <v>799</v>
      </c>
      <c r="F54" s="17" t="s">
        <v>12</v>
      </c>
      <c r="G54" s="17" t="s">
        <v>10</v>
      </c>
      <c r="H54" s="17">
        <v>44</v>
      </c>
      <c r="I54" s="17" t="str">
        <f>IFERROR(VLOOKUP(C54,Merchants!$A$2:$D$41,2,FALSE),"Merchant not found")</f>
        <v>Merchant_004</v>
      </c>
      <c r="J54" s="17" t="str">
        <f>IFERROR(VLOOKUP(C54,Merchants!$A$2:$D$41,3,FALSE),"Merchant not found")</f>
        <v>ecommerce</v>
      </c>
      <c r="K54" s="17" t="str">
        <f>IFERROR(VLOOKUP(C54,Merchants!$A$2:$D$41,4,FALSE),"Merchant not found")</f>
        <v>East</v>
      </c>
      <c r="L54" s="19">
        <f>_xlfn.IFNA(HLOOKUP(F54,'MDR Rates'!$C$1:$F$2,2,FALSE),"N/A")</f>
        <v>0</v>
      </c>
      <c r="M54" s="20">
        <f t="shared" si="0"/>
        <v>46038</v>
      </c>
      <c r="N54" s="17">
        <f t="shared" si="2"/>
        <v>799</v>
      </c>
      <c r="O54" s="17">
        <f>GETPIVOTDATA("amount_inr",'Pivot Table'!$A$3,"merchant_name",I54,"Date",M54)</f>
        <v>799</v>
      </c>
      <c r="P54" s="17" t="str">
        <f t="shared" si="1"/>
        <v>Standard</v>
      </c>
    </row>
    <row r="55" spans="1:16">
      <c r="A55" s="17" t="s">
        <v>68</v>
      </c>
      <c r="B55" s="17">
        <v>334</v>
      </c>
      <c r="C55" s="17">
        <v>3</v>
      </c>
      <c r="D55" s="18">
        <v>46030.8361111111</v>
      </c>
      <c r="E55" s="17">
        <v>149</v>
      </c>
      <c r="F55" s="17" t="s">
        <v>9</v>
      </c>
      <c r="G55" s="17" t="s">
        <v>10</v>
      </c>
      <c r="H55" s="17">
        <v>96</v>
      </c>
      <c r="I55" s="17" t="str">
        <f>IFERROR(VLOOKUP(C55,Merchants!$A$2:$D$41,2,FALSE),"Merchant not found")</f>
        <v>Merchant_003</v>
      </c>
      <c r="J55" s="17" t="str">
        <f>IFERROR(VLOOKUP(C55,Merchants!$A$2:$D$41,3,FALSE),"Merchant not found")</f>
        <v>grocery</v>
      </c>
      <c r="K55" s="17" t="str">
        <f>IFERROR(VLOOKUP(C55,Merchants!$A$2:$D$41,4,FALSE),"Merchant not found")</f>
        <v>East</v>
      </c>
      <c r="L55" s="19">
        <f>_xlfn.IFNA(HLOOKUP(F55,'MDR Rates'!$C$1:$F$2,2,FALSE),"N/A")</f>
        <v>0.01</v>
      </c>
      <c r="M55" s="20">
        <f t="shared" si="0"/>
        <v>46030</v>
      </c>
      <c r="N55" s="17">
        <f t="shared" si="2"/>
        <v>149</v>
      </c>
      <c r="O55" s="17">
        <f>GETPIVOTDATA("amount_inr",'Pivot Table'!$A$3,"merchant_name",I55,"Date",M55)</f>
        <v>149</v>
      </c>
      <c r="P55" s="17" t="str">
        <f t="shared" si="1"/>
        <v>Standard</v>
      </c>
    </row>
    <row r="56" spans="1:16">
      <c r="A56" s="17" t="s">
        <v>69</v>
      </c>
      <c r="B56" s="17">
        <v>11</v>
      </c>
      <c r="C56" s="17">
        <v>40</v>
      </c>
      <c r="D56" s="18">
        <v>46023.3</v>
      </c>
      <c r="E56" s="17">
        <v>299</v>
      </c>
      <c r="F56" s="17" t="s">
        <v>12</v>
      </c>
      <c r="G56" s="17" t="s">
        <v>10</v>
      </c>
      <c r="H56" s="17">
        <v>19</v>
      </c>
      <c r="I56" s="17" t="str">
        <f>IFERROR(VLOOKUP(C56,Merchants!$A$2:$D$41,2,FALSE),"Merchant not found")</f>
        <v>Merchant_040</v>
      </c>
      <c r="J56" s="17" t="str">
        <f>IFERROR(VLOOKUP(C56,Merchants!$A$2:$D$41,3,FALSE),"Merchant not found")</f>
        <v>entertainment</v>
      </c>
      <c r="K56" s="17" t="str">
        <f>IFERROR(VLOOKUP(C56,Merchants!$A$2:$D$41,4,FALSE),"Merchant not found")</f>
        <v>South</v>
      </c>
      <c r="L56" s="19">
        <f>_xlfn.IFNA(HLOOKUP(F56,'MDR Rates'!$C$1:$F$2,2,FALSE),"N/A")</f>
        <v>0</v>
      </c>
      <c r="M56" s="20">
        <f t="shared" si="0"/>
        <v>46023</v>
      </c>
      <c r="N56" s="17">
        <f t="shared" si="2"/>
        <v>299</v>
      </c>
      <c r="O56" s="17">
        <f>GETPIVOTDATA("amount_inr",'Pivot Table'!$A$3,"merchant_name",I56,"Date",M56)</f>
        <v>299</v>
      </c>
      <c r="P56" s="17" t="str">
        <f t="shared" si="1"/>
        <v>Standard</v>
      </c>
    </row>
    <row r="57" spans="1:16">
      <c r="A57" s="17" t="s">
        <v>70</v>
      </c>
      <c r="B57" s="17">
        <v>343</v>
      </c>
      <c r="C57" s="17">
        <v>8</v>
      </c>
      <c r="D57" s="18">
        <v>46030.1875</v>
      </c>
      <c r="E57" s="17">
        <v>99</v>
      </c>
      <c r="F57" s="17" t="s">
        <v>12</v>
      </c>
      <c r="G57" s="17" t="s">
        <v>10</v>
      </c>
      <c r="H57" s="17">
        <v>72</v>
      </c>
      <c r="I57" s="17" t="str">
        <f>IFERROR(VLOOKUP(C57,Merchants!$A$2:$D$41,2,FALSE),"Merchant not found")</f>
        <v>Merchant_008</v>
      </c>
      <c r="J57" s="17" t="str">
        <f>IFERROR(VLOOKUP(C57,Merchants!$A$2:$D$41,3,FALSE),"Merchant not found")</f>
        <v>food_delivery</v>
      </c>
      <c r="K57" s="17" t="str">
        <f>IFERROR(VLOOKUP(C57,Merchants!$A$2:$D$41,4,FALSE),"Merchant not found")</f>
        <v>North</v>
      </c>
      <c r="L57" s="19">
        <f>_xlfn.IFNA(HLOOKUP(F57,'MDR Rates'!$C$1:$F$2,2,FALSE),"N/A")</f>
        <v>0</v>
      </c>
      <c r="M57" s="20">
        <f t="shared" si="0"/>
        <v>46030</v>
      </c>
      <c r="N57" s="17">
        <f t="shared" si="2"/>
        <v>99</v>
      </c>
      <c r="O57" s="17">
        <f>GETPIVOTDATA("amount_inr",'Pivot Table'!$A$3,"merchant_name",I57,"Date",M57)</f>
        <v>99</v>
      </c>
      <c r="P57" s="17" t="str">
        <f t="shared" si="1"/>
        <v>Standard</v>
      </c>
    </row>
    <row r="58" spans="1:16">
      <c r="A58" s="17" t="s">
        <v>71</v>
      </c>
      <c r="B58" s="17">
        <v>132</v>
      </c>
      <c r="C58" s="17">
        <v>24</v>
      </c>
      <c r="D58" s="18">
        <v>46029.6138888889</v>
      </c>
      <c r="E58" s="17">
        <v>299</v>
      </c>
      <c r="F58" s="17" t="s">
        <v>9</v>
      </c>
      <c r="G58" s="17" t="s">
        <v>10</v>
      </c>
      <c r="H58" s="17">
        <v>21</v>
      </c>
      <c r="I58" s="17" t="str">
        <f>IFERROR(VLOOKUP(C58,Merchants!$A$2:$D$41,2,FALSE),"Merchant not found")</f>
        <v>Merchant_024</v>
      </c>
      <c r="J58" s="17" t="str">
        <f>IFERROR(VLOOKUP(C58,Merchants!$A$2:$D$41,3,FALSE),"Merchant not found")</f>
        <v>grocery</v>
      </c>
      <c r="K58" s="17" t="str">
        <f>IFERROR(VLOOKUP(C58,Merchants!$A$2:$D$41,4,FALSE),"Merchant not found")</f>
        <v>North</v>
      </c>
      <c r="L58" s="19">
        <f>_xlfn.IFNA(HLOOKUP(F58,'MDR Rates'!$C$1:$F$2,2,FALSE),"N/A")</f>
        <v>0.01</v>
      </c>
      <c r="M58" s="20">
        <f t="shared" si="0"/>
        <v>46029</v>
      </c>
      <c r="N58" s="17">
        <f t="shared" si="2"/>
        <v>299</v>
      </c>
      <c r="O58" s="17">
        <f>GETPIVOTDATA("amount_inr",'Pivot Table'!$A$3,"merchant_name",I58,"Date",M58)</f>
        <v>299</v>
      </c>
      <c r="P58" s="17" t="str">
        <f t="shared" si="1"/>
        <v>Standard</v>
      </c>
    </row>
    <row r="59" spans="1:16">
      <c r="A59" s="17" t="s">
        <v>72</v>
      </c>
      <c r="B59" s="17">
        <v>59</v>
      </c>
      <c r="C59" s="17">
        <v>11</v>
      </c>
      <c r="D59" s="18">
        <v>46042.8243055556</v>
      </c>
      <c r="E59" s="17">
        <v>299</v>
      </c>
      <c r="F59" s="17" t="s">
        <v>12</v>
      </c>
      <c r="G59" s="17" t="s">
        <v>10</v>
      </c>
      <c r="H59" s="17">
        <v>39</v>
      </c>
      <c r="I59" s="17" t="str">
        <f>IFERROR(VLOOKUP(C59,Merchants!$A$2:$D$41,2,FALSE),"Merchant not found")</f>
        <v>Merchant_011</v>
      </c>
      <c r="J59" s="17" t="str">
        <f>IFERROR(VLOOKUP(C59,Merchants!$A$2:$D$41,3,FALSE),"Merchant not found")</f>
        <v>ecommerce</v>
      </c>
      <c r="K59" s="17" t="str">
        <f>IFERROR(VLOOKUP(C59,Merchants!$A$2:$D$41,4,FALSE),"Merchant not found")</f>
        <v>North</v>
      </c>
      <c r="L59" s="19">
        <f>_xlfn.IFNA(HLOOKUP(F59,'MDR Rates'!$C$1:$F$2,2,FALSE),"N/A")</f>
        <v>0</v>
      </c>
      <c r="M59" s="20">
        <f t="shared" si="0"/>
        <v>46042</v>
      </c>
      <c r="N59" s="17">
        <f t="shared" si="2"/>
        <v>299</v>
      </c>
      <c r="O59" s="17">
        <f>GETPIVOTDATA("amount_inr",'Pivot Table'!$A$3,"merchant_name",I59,"Date",M59)</f>
        <v>299</v>
      </c>
      <c r="P59" s="17" t="str">
        <f t="shared" si="1"/>
        <v>Standard</v>
      </c>
    </row>
    <row r="60" spans="1:16">
      <c r="A60" s="17" t="s">
        <v>73</v>
      </c>
      <c r="B60" s="17">
        <v>160</v>
      </c>
      <c r="C60" s="17">
        <v>37</v>
      </c>
      <c r="D60" s="18">
        <v>46026.7506944444</v>
      </c>
      <c r="E60" s="17">
        <v>49</v>
      </c>
      <c r="F60" s="17" t="s">
        <v>9</v>
      </c>
      <c r="G60" s="17" t="s">
        <v>10</v>
      </c>
      <c r="H60" s="17">
        <v>86</v>
      </c>
      <c r="I60" s="17" t="str">
        <f>IFERROR(VLOOKUP(C60,Merchants!$A$2:$D$41,2,FALSE),"Merchant not found")</f>
        <v>Merchant_037</v>
      </c>
      <c r="J60" s="17" t="str">
        <f>IFERROR(VLOOKUP(C60,Merchants!$A$2:$D$41,3,FALSE),"Merchant not found")</f>
        <v>entertainment</v>
      </c>
      <c r="K60" s="17" t="str">
        <f>IFERROR(VLOOKUP(C60,Merchants!$A$2:$D$41,4,FALSE),"Merchant not found")</f>
        <v>South</v>
      </c>
      <c r="L60" s="19">
        <f>_xlfn.IFNA(HLOOKUP(F60,'MDR Rates'!$C$1:$F$2,2,FALSE),"N/A")</f>
        <v>0.01</v>
      </c>
      <c r="M60" s="20">
        <f t="shared" si="0"/>
        <v>46026</v>
      </c>
      <c r="N60" s="17">
        <f t="shared" si="2"/>
        <v>49</v>
      </c>
      <c r="O60" s="17">
        <f>GETPIVOTDATA("amount_inr",'Pivot Table'!$A$3,"merchant_name",I60,"Date",M60)</f>
        <v>49</v>
      </c>
      <c r="P60" s="17" t="str">
        <f t="shared" si="1"/>
        <v>Standard</v>
      </c>
    </row>
    <row r="61" spans="1:16">
      <c r="A61" s="17" t="s">
        <v>74</v>
      </c>
      <c r="B61" s="17">
        <v>102</v>
      </c>
      <c r="C61" s="17">
        <v>5</v>
      </c>
      <c r="D61" s="18">
        <v>46052.5173611111</v>
      </c>
      <c r="E61" s="17">
        <v>2999</v>
      </c>
      <c r="F61" s="17" t="s">
        <v>12</v>
      </c>
      <c r="G61" s="17" t="s">
        <v>10</v>
      </c>
      <c r="H61" s="17">
        <v>75</v>
      </c>
      <c r="I61" s="17" t="str">
        <f>IFERROR(VLOOKUP(C61,Merchants!$A$2:$D$41,2,FALSE),"Merchant not found")</f>
        <v>Merchant_005</v>
      </c>
      <c r="J61" s="17" t="str">
        <f>IFERROR(VLOOKUP(C61,Merchants!$A$2:$D$41,3,FALSE),"Merchant not found")</f>
        <v>recharge</v>
      </c>
      <c r="K61" s="17" t="str">
        <f>IFERROR(VLOOKUP(C61,Merchants!$A$2:$D$41,4,FALSE),"Merchant not found")</f>
        <v>South</v>
      </c>
      <c r="L61" s="19">
        <f>_xlfn.IFNA(HLOOKUP(F61,'MDR Rates'!$C$1:$F$2,2,FALSE),"N/A")</f>
        <v>0</v>
      </c>
      <c r="M61" s="20">
        <f t="shared" si="0"/>
        <v>46052</v>
      </c>
      <c r="N61" s="17">
        <f t="shared" si="2"/>
        <v>2999</v>
      </c>
      <c r="O61" s="17">
        <f>GETPIVOTDATA("amount_inr",'Pivot Table'!$A$3,"merchant_name",I61,"Date",M61)</f>
        <v>2999</v>
      </c>
      <c r="P61" s="17" t="str">
        <f t="shared" si="1"/>
        <v>Standard</v>
      </c>
    </row>
    <row r="62" spans="1:16">
      <c r="A62" s="17" t="s">
        <v>75</v>
      </c>
      <c r="B62" s="17">
        <v>53</v>
      </c>
      <c r="C62" s="17">
        <v>20</v>
      </c>
      <c r="D62" s="18">
        <v>46045.84375</v>
      </c>
      <c r="E62" s="17">
        <v>49</v>
      </c>
      <c r="F62" s="17" t="s">
        <v>15</v>
      </c>
      <c r="G62" s="17" t="s">
        <v>10</v>
      </c>
      <c r="H62" s="17">
        <v>87</v>
      </c>
      <c r="I62" s="17" t="str">
        <f>IFERROR(VLOOKUP(C62,Merchants!$A$2:$D$41,2,FALSE),"Merchant not found")</f>
        <v>Merchant_020</v>
      </c>
      <c r="J62" s="17" t="str">
        <f>IFERROR(VLOOKUP(C62,Merchants!$A$2:$D$41,3,FALSE),"Merchant not found")</f>
        <v>food_delivery</v>
      </c>
      <c r="K62" s="17" t="str">
        <f>IFERROR(VLOOKUP(C62,Merchants!$A$2:$D$41,4,FALSE),"Merchant not found")</f>
        <v>East</v>
      </c>
      <c r="L62" s="19">
        <f>_xlfn.IFNA(HLOOKUP(F62,'MDR Rates'!$C$1:$F$2,2,FALSE),"N/A")</f>
        <v>0.015</v>
      </c>
      <c r="M62" s="20">
        <f t="shared" si="0"/>
        <v>46045</v>
      </c>
      <c r="N62" s="17">
        <f t="shared" si="2"/>
        <v>49</v>
      </c>
      <c r="O62" s="17">
        <f>GETPIVOTDATA("amount_inr",'Pivot Table'!$A$3,"merchant_name",I62,"Date",M62)</f>
        <v>49</v>
      </c>
      <c r="P62" s="17" t="str">
        <f t="shared" si="1"/>
        <v>Standard</v>
      </c>
    </row>
    <row r="63" spans="1:16">
      <c r="A63" s="17" t="s">
        <v>76</v>
      </c>
      <c r="B63" s="17">
        <v>290</v>
      </c>
      <c r="C63" s="17">
        <v>3</v>
      </c>
      <c r="D63" s="18">
        <v>46042.1597222222</v>
      </c>
      <c r="E63" s="17">
        <v>99</v>
      </c>
      <c r="F63" s="17" t="s">
        <v>9</v>
      </c>
      <c r="G63" s="17" t="s">
        <v>10</v>
      </c>
      <c r="H63" s="17">
        <v>44</v>
      </c>
      <c r="I63" s="17" t="str">
        <f>IFERROR(VLOOKUP(C63,Merchants!$A$2:$D$41,2,FALSE),"Merchant not found")</f>
        <v>Merchant_003</v>
      </c>
      <c r="J63" s="17" t="str">
        <f>IFERROR(VLOOKUP(C63,Merchants!$A$2:$D$41,3,FALSE),"Merchant not found")</f>
        <v>grocery</v>
      </c>
      <c r="K63" s="17" t="str">
        <f>IFERROR(VLOOKUP(C63,Merchants!$A$2:$D$41,4,FALSE),"Merchant not found")</f>
        <v>East</v>
      </c>
      <c r="L63" s="19">
        <f>_xlfn.IFNA(HLOOKUP(F63,'MDR Rates'!$C$1:$F$2,2,FALSE),"N/A")</f>
        <v>0.01</v>
      </c>
      <c r="M63" s="20">
        <f t="shared" si="0"/>
        <v>46042</v>
      </c>
      <c r="N63" s="17">
        <f t="shared" si="2"/>
        <v>99</v>
      </c>
      <c r="O63" s="17">
        <f>GETPIVOTDATA("amount_inr",'Pivot Table'!$A$3,"merchant_name",I63,"Date",M63)</f>
        <v>99</v>
      </c>
      <c r="P63" s="17" t="str">
        <f t="shared" si="1"/>
        <v>Standard</v>
      </c>
    </row>
    <row r="64" spans="1:16">
      <c r="A64" s="17" t="s">
        <v>77</v>
      </c>
      <c r="B64" s="17">
        <v>190</v>
      </c>
      <c r="C64" s="17">
        <v>5</v>
      </c>
      <c r="D64" s="18">
        <v>46040.5708333333</v>
      </c>
      <c r="E64" s="17">
        <v>299</v>
      </c>
      <c r="F64" s="17" t="s">
        <v>12</v>
      </c>
      <c r="G64" s="17" t="s">
        <v>10</v>
      </c>
      <c r="H64" s="17">
        <v>64</v>
      </c>
      <c r="I64" s="17" t="str">
        <f>IFERROR(VLOOKUP(C64,Merchants!$A$2:$D$41,2,FALSE),"Merchant not found")</f>
        <v>Merchant_005</v>
      </c>
      <c r="J64" s="17" t="str">
        <f>IFERROR(VLOOKUP(C64,Merchants!$A$2:$D$41,3,FALSE),"Merchant not found")</f>
        <v>recharge</v>
      </c>
      <c r="K64" s="17" t="str">
        <f>IFERROR(VLOOKUP(C64,Merchants!$A$2:$D$41,4,FALSE),"Merchant not found")</f>
        <v>South</v>
      </c>
      <c r="L64" s="19">
        <f>_xlfn.IFNA(HLOOKUP(F64,'MDR Rates'!$C$1:$F$2,2,FALSE),"N/A")</f>
        <v>0</v>
      </c>
      <c r="M64" s="20">
        <f t="shared" si="0"/>
        <v>46040</v>
      </c>
      <c r="N64" s="17">
        <f t="shared" si="2"/>
        <v>299</v>
      </c>
      <c r="O64" s="17">
        <f>GETPIVOTDATA("amount_inr",'Pivot Table'!$A$3,"merchant_name",I64,"Date",M64)</f>
        <v>299</v>
      </c>
      <c r="P64" s="17" t="str">
        <f t="shared" si="1"/>
        <v>Standard</v>
      </c>
    </row>
    <row r="65" spans="1:16">
      <c r="A65" s="17" t="s">
        <v>78</v>
      </c>
      <c r="B65" s="17">
        <v>216</v>
      </c>
      <c r="C65" s="17">
        <v>32</v>
      </c>
      <c r="D65" s="18">
        <v>46043.4166666667</v>
      </c>
      <c r="E65" s="17">
        <v>49</v>
      </c>
      <c r="F65" s="17" t="s">
        <v>24</v>
      </c>
      <c r="G65" s="17" t="s">
        <v>10</v>
      </c>
      <c r="H65" s="17">
        <v>13</v>
      </c>
      <c r="I65" s="17" t="str">
        <f>IFERROR(VLOOKUP(C65,Merchants!$A$2:$D$41,2,FALSE),"Merchant not found")</f>
        <v>Merchant_032</v>
      </c>
      <c r="J65" s="17" t="str">
        <f>IFERROR(VLOOKUP(C65,Merchants!$A$2:$D$41,3,FALSE),"Merchant not found")</f>
        <v>food_delivery</v>
      </c>
      <c r="K65" s="17" t="str">
        <f>IFERROR(VLOOKUP(C65,Merchants!$A$2:$D$41,4,FALSE),"Merchant not found")</f>
        <v>West</v>
      </c>
      <c r="L65" s="19">
        <f>_xlfn.IFNA(HLOOKUP(F65,'MDR Rates'!$C$1:$F$2,2,FALSE),"N/A")</f>
        <v>0.02</v>
      </c>
      <c r="M65" s="20">
        <f t="shared" si="0"/>
        <v>46043</v>
      </c>
      <c r="N65" s="17">
        <f t="shared" si="2"/>
        <v>348</v>
      </c>
      <c r="O65" s="17">
        <f>GETPIVOTDATA("amount_inr",'Pivot Table'!$A$3,"merchant_name",I65,"Date",M65)</f>
        <v>348</v>
      </c>
      <c r="P65" s="17" t="str">
        <f t="shared" si="1"/>
        <v>Standard</v>
      </c>
    </row>
    <row r="66" spans="1:16">
      <c r="A66" s="17" t="s">
        <v>79</v>
      </c>
      <c r="B66" s="17">
        <v>236</v>
      </c>
      <c r="C66" s="17">
        <v>10</v>
      </c>
      <c r="D66" s="18">
        <v>46036.4861111111</v>
      </c>
      <c r="E66" s="17">
        <v>499</v>
      </c>
      <c r="F66" s="17" t="s">
        <v>12</v>
      </c>
      <c r="G66" s="17" t="s">
        <v>10</v>
      </c>
      <c r="H66" s="17">
        <v>55</v>
      </c>
      <c r="I66" s="17" t="str">
        <f>IFERROR(VLOOKUP(C66,Merchants!$A$2:$D$41,2,FALSE),"Merchant not found")</f>
        <v>Merchant_010</v>
      </c>
      <c r="J66" s="17" t="str">
        <f>IFERROR(VLOOKUP(C66,Merchants!$A$2:$D$41,3,FALSE),"Merchant not found")</f>
        <v>grocery</v>
      </c>
      <c r="K66" s="17" t="str">
        <f>IFERROR(VLOOKUP(C66,Merchants!$A$2:$D$41,4,FALSE),"Merchant not found")</f>
        <v>West</v>
      </c>
      <c r="L66" s="19">
        <f>_xlfn.IFNA(HLOOKUP(F66,'MDR Rates'!$C$1:$F$2,2,FALSE),"N/A")</f>
        <v>0</v>
      </c>
      <c r="M66" s="20">
        <f t="shared" si="0"/>
        <v>46036</v>
      </c>
      <c r="N66" s="17">
        <f t="shared" si="2"/>
        <v>499</v>
      </c>
      <c r="O66" s="17">
        <f>GETPIVOTDATA("amount_inr",'Pivot Table'!$A$3,"merchant_name",I66,"Date",M66)</f>
        <v>499</v>
      </c>
      <c r="P66" s="17" t="str">
        <f t="shared" si="1"/>
        <v>Standard</v>
      </c>
    </row>
    <row r="67" spans="1:16">
      <c r="A67" s="17" t="s">
        <v>80</v>
      </c>
      <c r="B67" s="17">
        <v>334</v>
      </c>
      <c r="C67" s="17">
        <v>18</v>
      </c>
      <c r="D67" s="18">
        <v>46028.98125</v>
      </c>
      <c r="E67" s="17">
        <v>499</v>
      </c>
      <c r="F67" s="17" t="s">
        <v>24</v>
      </c>
      <c r="G67" s="17" t="s">
        <v>10</v>
      </c>
      <c r="H67" s="17">
        <v>78</v>
      </c>
      <c r="I67" s="17" t="str">
        <f>IFERROR(VLOOKUP(C67,Merchants!$A$2:$D$41,2,FALSE),"Merchant not found")</f>
        <v>Merchant_018</v>
      </c>
      <c r="J67" s="17" t="str">
        <f>IFERROR(VLOOKUP(C67,Merchants!$A$2:$D$41,3,FALSE),"Merchant not found")</f>
        <v>grocery</v>
      </c>
      <c r="K67" s="17" t="str">
        <f>IFERROR(VLOOKUP(C67,Merchants!$A$2:$D$41,4,FALSE),"Merchant not found")</f>
        <v>West</v>
      </c>
      <c r="L67" s="19">
        <f>_xlfn.IFNA(HLOOKUP(F67,'MDR Rates'!$C$1:$F$2,2,FALSE),"N/A")</f>
        <v>0.02</v>
      </c>
      <c r="M67" s="20">
        <f t="shared" ref="M67:M130" si="3">INT(D67)</f>
        <v>46028</v>
      </c>
      <c r="N67" s="17">
        <f t="shared" si="2"/>
        <v>499</v>
      </c>
      <c r="O67" s="17">
        <f>GETPIVOTDATA("amount_inr",'Pivot Table'!$A$3,"merchant_name",I67,"Date",M67)</f>
        <v>499</v>
      </c>
      <c r="P67" s="17" t="str">
        <f t="shared" ref="P67:P130" si="4">IF(AND(O67&gt;5000,K67&lt;&gt;"East"),"High-Value Merchant Day","Standard")</f>
        <v>Standard</v>
      </c>
    </row>
    <row r="68" spans="1:16">
      <c r="A68" s="17" t="s">
        <v>81</v>
      </c>
      <c r="B68" s="17">
        <v>248</v>
      </c>
      <c r="C68" s="17">
        <v>30</v>
      </c>
      <c r="D68" s="18">
        <v>46048.7423611111</v>
      </c>
      <c r="E68" s="17">
        <v>799</v>
      </c>
      <c r="F68" s="17" t="s">
        <v>9</v>
      </c>
      <c r="G68" s="17" t="s">
        <v>10</v>
      </c>
      <c r="H68" s="17">
        <v>55</v>
      </c>
      <c r="I68" s="17" t="str">
        <f>IFERROR(VLOOKUP(C68,Merchants!$A$2:$D$41,2,FALSE),"Merchant not found")</f>
        <v>Merchant_030</v>
      </c>
      <c r="J68" s="17" t="str">
        <f>IFERROR(VLOOKUP(C68,Merchants!$A$2:$D$41,3,FALSE),"Merchant not found")</f>
        <v>travel</v>
      </c>
      <c r="K68" s="17" t="str">
        <f>IFERROR(VLOOKUP(C68,Merchants!$A$2:$D$41,4,FALSE),"Merchant not found")</f>
        <v>West</v>
      </c>
      <c r="L68" s="19">
        <f>_xlfn.IFNA(HLOOKUP(F68,'MDR Rates'!$C$1:$F$2,2,FALSE),"N/A")</f>
        <v>0.01</v>
      </c>
      <c r="M68" s="20">
        <f t="shared" si="3"/>
        <v>46048</v>
      </c>
      <c r="N68" s="17">
        <f t="shared" si="2"/>
        <v>799</v>
      </c>
      <c r="O68" s="17">
        <f>GETPIVOTDATA("amount_inr",'Pivot Table'!$A$3,"merchant_name",I68,"Date",M68)</f>
        <v>799</v>
      </c>
      <c r="P68" s="17" t="str">
        <f t="shared" si="4"/>
        <v>Standard</v>
      </c>
    </row>
    <row r="69" spans="1:16">
      <c r="A69" s="17" t="s">
        <v>82</v>
      </c>
      <c r="B69" s="17">
        <v>138</v>
      </c>
      <c r="C69" s="17">
        <v>21</v>
      </c>
      <c r="D69" s="18">
        <v>46049.9840277778</v>
      </c>
      <c r="E69" s="17">
        <v>49</v>
      </c>
      <c r="F69" s="17" t="s">
        <v>24</v>
      </c>
      <c r="G69" s="17" t="s">
        <v>10</v>
      </c>
      <c r="H69" s="17">
        <v>31</v>
      </c>
      <c r="I69" s="17" t="str">
        <f>IFERROR(VLOOKUP(C69,Merchants!$A$2:$D$41,2,FALSE),"Merchant not found")</f>
        <v>Merchant_021</v>
      </c>
      <c r="J69" s="17" t="str">
        <f>IFERROR(VLOOKUP(C69,Merchants!$A$2:$D$41,3,FALSE),"Merchant not found")</f>
        <v>food_delivery</v>
      </c>
      <c r="K69" s="17" t="str">
        <f>IFERROR(VLOOKUP(C69,Merchants!$A$2:$D$41,4,FALSE),"Merchant not found")</f>
        <v>East</v>
      </c>
      <c r="L69" s="19">
        <f>_xlfn.IFNA(HLOOKUP(F69,'MDR Rates'!$C$1:$F$2,2,FALSE),"N/A")</f>
        <v>0.02</v>
      </c>
      <c r="M69" s="20">
        <f t="shared" si="3"/>
        <v>46049</v>
      </c>
      <c r="N69" s="17">
        <f t="shared" ref="N69:N132" si="5">SUMIFS($E$2:$E$548,$C$2:$C$548,C69,$M$2:$M$548,M69)</f>
        <v>49</v>
      </c>
      <c r="O69" s="17">
        <f>GETPIVOTDATA("amount_inr",'Pivot Table'!$A$3,"merchant_name",I69,"Date",M69)</f>
        <v>49</v>
      </c>
      <c r="P69" s="17" t="str">
        <f t="shared" si="4"/>
        <v>Standard</v>
      </c>
    </row>
    <row r="70" spans="1:16">
      <c r="A70" s="17" t="s">
        <v>83</v>
      </c>
      <c r="B70" s="17">
        <v>231</v>
      </c>
      <c r="C70" s="17">
        <v>16</v>
      </c>
      <c r="D70" s="18">
        <v>46049.0951388889</v>
      </c>
      <c r="E70" s="17">
        <v>49</v>
      </c>
      <c r="F70" s="17" t="s">
        <v>12</v>
      </c>
      <c r="G70" s="17" t="s">
        <v>10</v>
      </c>
      <c r="H70" s="17">
        <v>96</v>
      </c>
      <c r="I70" s="17" t="str">
        <f>IFERROR(VLOOKUP(C70,Merchants!$A$2:$D$41,2,FALSE),"Merchant not found")</f>
        <v>Merchant_016</v>
      </c>
      <c r="J70" s="17" t="str">
        <f>IFERROR(VLOOKUP(C70,Merchants!$A$2:$D$41,3,FALSE),"Merchant not found")</f>
        <v>bill_payment</v>
      </c>
      <c r="K70" s="17" t="str">
        <f>IFERROR(VLOOKUP(C70,Merchants!$A$2:$D$41,4,FALSE),"Merchant not found")</f>
        <v>West</v>
      </c>
      <c r="L70" s="19">
        <f>_xlfn.IFNA(HLOOKUP(F70,'MDR Rates'!$C$1:$F$2,2,FALSE),"N/A")</f>
        <v>0</v>
      </c>
      <c r="M70" s="20">
        <f t="shared" si="3"/>
        <v>46049</v>
      </c>
      <c r="N70" s="17">
        <f t="shared" si="5"/>
        <v>348</v>
      </c>
      <c r="O70" s="17">
        <f>GETPIVOTDATA("amount_inr",'Pivot Table'!$A$3,"merchant_name",I70,"Date",M70)</f>
        <v>348</v>
      </c>
      <c r="P70" s="17" t="str">
        <f t="shared" si="4"/>
        <v>Standard</v>
      </c>
    </row>
    <row r="71" spans="1:16">
      <c r="A71" s="17" t="s">
        <v>84</v>
      </c>
      <c r="B71" s="17">
        <v>343</v>
      </c>
      <c r="C71" s="17">
        <v>25</v>
      </c>
      <c r="D71" s="18">
        <v>46037.7770833333</v>
      </c>
      <c r="E71" s="17">
        <v>49</v>
      </c>
      <c r="F71" s="17" t="s">
        <v>12</v>
      </c>
      <c r="G71" s="17" t="s">
        <v>10</v>
      </c>
      <c r="H71" s="17">
        <v>43</v>
      </c>
      <c r="I71" s="17" t="str">
        <f>IFERROR(VLOOKUP(C71,Merchants!$A$2:$D$41,2,FALSE),"Merchant not found")</f>
        <v>Merchant_025</v>
      </c>
      <c r="J71" s="17" t="str">
        <f>IFERROR(VLOOKUP(C71,Merchants!$A$2:$D$41,3,FALSE),"Merchant not found")</f>
        <v>travel</v>
      </c>
      <c r="K71" s="17" t="str">
        <f>IFERROR(VLOOKUP(C71,Merchants!$A$2:$D$41,4,FALSE),"Merchant not found")</f>
        <v>South</v>
      </c>
      <c r="L71" s="19">
        <f>_xlfn.IFNA(HLOOKUP(F71,'MDR Rates'!$C$1:$F$2,2,FALSE),"N/A")</f>
        <v>0</v>
      </c>
      <c r="M71" s="20">
        <f t="shared" si="3"/>
        <v>46037</v>
      </c>
      <c r="N71" s="17">
        <f t="shared" si="5"/>
        <v>49</v>
      </c>
      <c r="O71" s="17">
        <f>GETPIVOTDATA("amount_inr",'Pivot Table'!$A$3,"merchant_name",I71,"Date",M71)</f>
        <v>49</v>
      </c>
      <c r="P71" s="17" t="str">
        <f t="shared" si="4"/>
        <v>Standard</v>
      </c>
    </row>
    <row r="72" spans="1:16">
      <c r="A72" s="17" t="s">
        <v>85</v>
      </c>
      <c r="B72" s="17">
        <v>167</v>
      </c>
      <c r="C72" s="17">
        <v>12</v>
      </c>
      <c r="D72" s="18">
        <v>46023.6625</v>
      </c>
      <c r="E72" s="17">
        <v>499</v>
      </c>
      <c r="F72" s="17" t="s">
        <v>9</v>
      </c>
      <c r="G72" s="17" t="s">
        <v>10</v>
      </c>
      <c r="H72" s="17">
        <v>62</v>
      </c>
      <c r="I72" s="17" t="str">
        <f>IFERROR(VLOOKUP(C72,Merchants!$A$2:$D$41,2,FALSE),"Merchant not found")</f>
        <v>Merchant_012</v>
      </c>
      <c r="J72" s="17" t="str">
        <f>IFERROR(VLOOKUP(C72,Merchants!$A$2:$D$41,3,FALSE),"Merchant not found")</f>
        <v>ecommerce</v>
      </c>
      <c r="K72" s="17" t="str">
        <f>IFERROR(VLOOKUP(C72,Merchants!$A$2:$D$41,4,FALSE),"Merchant not found")</f>
        <v>East</v>
      </c>
      <c r="L72" s="19">
        <f>_xlfn.IFNA(HLOOKUP(F72,'MDR Rates'!$C$1:$F$2,2,FALSE),"N/A")</f>
        <v>0.01</v>
      </c>
      <c r="M72" s="20">
        <f t="shared" si="3"/>
        <v>46023</v>
      </c>
      <c r="N72" s="17">
        <f t="shared" si="5"/>
        <v>548</v>
      </c>
      <c r="O72" s="17">
        <f>GETPIVOTDATA("amount_inr",'Pivot Table'!$A$3,"merchant_name",I72,"Date",M72)</f>
        <v>548</v>
      </c>
      <c r="P72" s="17" t="str">
        <f t="shared" si="4"/>
        <v>Standard</v>
      </c>
    </row>
    <row r="73" spans="1:16">
      <c r="A73" s="17" t="s">
        <v>86</v>
      </c>
      <c r="B73" s="17">
        <v>133</v>
      </c>
      <c r="C73" s="17">
        <v>22</v>
      </c>
      <c r="D73" s="18">
        <v>46029.49375</v>
      </c>
      <c r="E73" s="17">
        <v>499</v>
      </c>
      <c r="F73" s="17" t="s">
        <v>12</v>
      </c>
      <c r="G73" s="17" t="s">
        <v>10</v>
      </c>
      <c r="H73" s="17">
        <v>35</v>
      </c>
      <c r="I73" s="17" t="str">
        <f>IFERROR(VLOOKUP(C73,Merchants!$A$2:$D$41,2,FALSE),"Merchant not found")</f>
        <v>Merchant_022</v>
      </c>
      <c r="J73" s="17" t="str">
        <f>IFERROR(VLOOKUP(C73,Merchants!$A$2:$D$41,3,FALSE),"Merchant not found")</f>
        <v>travel</v>
      </c>
      <c r="K73" s="17" t="str">
        <f>IFERROR(VLOOKUP(C73,Merchants!$A$2:$D$41,4,FALSE),"Merchant not found")</f>
        <v>South</v>
      </c>
      <c r="L73" s="19">
        <f>_xlfn.IFNA(HLOOKUP(F73,'MDR Rates'!$C$1:$F$2,2,FALSE),"N/A")</f>
        <v>0</v>
      </c>
      <c r="M73" s="20">
        <f t="shared" si="3"/>
        <v>46029</v>
      </c>
      <c r="N73" s="17">
        <f t="shared" si="5"/>
        <v>499</v>
      </c>
      <c r="O73" s="17">
        <f>GETPIVOTDATA("amount_inr",'Pivot Table'!$A$3,"merchant_name",I73,"Date",M73)</f>
        <v>499</v>
      </c>
      <c r="P73" s="17" t="str">
        <f t="shared" si="4"/>
        <v>Standard</v>
      </c>
    </row>
    <row r="74" spans="1:16">
      <c r="A74" s="17" t="s">
        <v>87</v>
      </c>
      <c r="B74" s="17">
        <v>142</v>
      </c>
      <c r="C74" s="17">
        <v>36</v>
      </c>
      <c r="D74" s="18">
        <v>46051.8222222222</v>
      </c>
      <c r="E74" s="17">
        <v>799</v>
      </c>
      <c r="F74" s="17" t="s">
        <v>9</v>
      </c>
      <c r="G74" s="17" t="s">
        <v>10</v>
      </c>
      <c r="H74" s="17">
        <v>1</v>
      </c>
      <c r="I74" s="17" t="str">
        <f>IFERROR(VLOOKUP(C74,Merchants!$A$2:$D$41,2,FALSE),"Merchant not found")</f>
        <v>Merchant_036</v>
      </c>
      <c r="J74" s="17" t="str">
        <f>IFERROR(VLOOKUP(C74,Merchants!$A$2:$D$41,3,FALSE),"Merchant not found")</f>
        <v>entertainment</v>
      </c>
      <c r="K74" s="17" t="str">
        <f>IFERROR(VLOOKUP(C74,Merchants!$A$2:$D$41,4,FALSE),"Merchant not found")</f>
        <v>East</v>
      </c>
      <c r="L74" s="19">
        <f>_xlfn.IFNA(HLOOKUP(F74,'MDR Rates'!$C$1:$F$2,2,FALSE),"N/A")</f>
        <v>0.01</v>
      </c>
      <c r="M74" s="20">
        <f t="shared" si="3"/>
        <v>46051</v>
      </c>
      <c r="N74" s="17">
        <f t="shared" si="5"/>
        <v>799</v>
      </c>
      <c r="O74" s="17">
        <f>GETPIVOTDATA("amount_inr",'Pivot Table'!$A$3,"merchant_name",I74,"Date",M74)</f>
        <v>799</v>
      </c>
      <c r="P74" s="17" t="str">
        <f t="shared" si="4"/>
        <v>Standard</v>
      </c>
    </row>
    <row r="75" spans="1:16">
      <c r="A75" s="17" t="s">
        <v>88</v>
      </c>
      <c r="B75" s="17">
        <v>124</v>
      </c>
      <c r="C75" s="17">
        <v>27</v>
      </c>
      <c r="D75" s="18">
        <v>46039.2534722222</v>
      </c>
      <c r="E75" s="17">
        <v>499</v>
      </c>
      <c r="F75" s="17" t="s">
        <v>9</v>
      </c>
      <c r="G75" s="17" t="s">
        <v>10</v>
      </c>
      <c r="H75" s="17">
        <v>62</v>
      </c>
      <c r="I75" s="17" t="str">
        <f>IFERROR(VLOOKUP(C75,Merchants!$A$2:$D$41,2,FALSE),"Merchant not found")</f>
        <v>Merchant_027</v>
      </c>
      <c r="J75" s="17" t="str">
        <f>IFERROR(VLOOKUP(C75,Merchants!$A$2:$D$41,3,FALSE),"Merchant not found")</f>
        <v>ecommerce</v>
      </c>
      <c r="K75" s="17" t="str">
        <f>IFERROR(VLOOKUP(C75,Merchants!$A$2:$D$41,4,FALSE),"Merchant not found")</f>
        <v>North</v>
      </c>
      <c r="L75" s="19">
        <f>_xlfn.IFNA(HLOOKUP(F75,'MDR Rates'!$C$1:$F$2,2,FALSE),"N/A")</f>
        <v>0.01</v>
      </c>
      <c r="M75" s="20">
        <f t="shared" si="3"/>
        <v>46039</v>
      </c>
      <c r="N75" s="17">
        <f t="shared" si="5"/>
        <v>1597</v>
      </c>
      <c r="O75" s="17">
        <f>GETPIVOTDATA("amount_inr",'Pivot Table'!$A$3,"merchant_name",I75,"Date",M75)</f>
        <v>1597</v>
      </c>
      <c r="P75" s="17" t="str">
        <f t="shared" si="4"/>
        <v>Standard</v>
      </c>
    </row>
    <row r="76" spans="1:16">
      <c r="A76" s="17" t="s">
        <v>89</v>
      </c>
      <c r="B76" s="17">
        <v>244</v>
      </c>
      <c r="C76" s="17">
        <v>32</v>
      </c>
      <c r="D76" s="18">
        <v>46040.3222222222</v>
      </c>
      <c r="E76" s="17">
        <v>149</v>
      </c>
      <c r="F76" s="17" t="s">
        <v>12</v>
      </c>
      <c r="G76" s="17" t="s">
        <v>10</v>
      </c>
      <c r="H76" s="17">
        <v>57</v>
      </c>
      <c r="I76" s="17" t="str">
        <f>IFERROR(VLOOKUP(C76,Merchants!$A$2:$D$41,2,FALSE),"Merchant not found")</f>
        <v>Merchant_032</v>
      </c>
      <c r="J76" s="17" t="str">
        <f>IFERROR(VLOOKUP(C76,Merchants!$A$2:$D$41,3,FALSE),"Merchant not found")</f>
        <v>food_delivery</v>
      </c>
      <c r="K76" s="17" t="str">
        <f>IFERROR(VLOOKUP(C76,Merchants!$A$2:$D$41,4,FALSE),"Merchant not found")</f>
        <v>West</v>
      </c>
      <c r="L76" s="19">
        <f>_xlfn.IFNA(HLOOKUP(F76,'MDR Rates'!$C$1:$F$2,2,FALSE),"N/A")</f>
        <v>0</v>
      </c>
      <c r="M76" s="20">
        <f t="shared" si="3"/>
        <v>46040</v>
      </c>
      <c r="N76" s="17">
        <f t="shared" si="5"/>
        <v>149</v>
      </c>
      <c r="O76" s="17">
        <f>GETPIVOTDATA("amount_inr",'Pivot Table'!$A$3,"merchant_name",I76,"Date",M76)</f>
        <v>149</v>
      </c>
      <c r="P76" s="17" t="str">
        <f t="shared" si="4"/>
        <v>Standard</v>
      </c>
    </row>
    <row r="77" spans="1:16">
      <c r="A77" s="17" t="s">
        <v>90</v>
      </c>
      <c r="B77" s="17">
        <v>151</v>
      </c>
      <c r="C77" s="17">
        <v>15</v>
      </c>
      <c r="D77" s="18">
        <v>46048.0034722222</v>
      </c>
      <c r="E77" s="17">
        <v>4999</v>
      </c>
      <c r="F77" s="17" t="s">
        <v>12</v>
      </c>
      <c r="G77" s="17" t="s">
        <v>10</v>
      </c>
      <c r="H77" s="17">
        <v>51</v>
      </c>
      <c r="I77" s="17" t="str">
        <f>IFERROR(VLOOKUP(C77,Merchants!$A$2:$D$41,2,FALSE),"Merchant not found")</f>
        <v>Merchant_015</v>
      </c>
      <c r="J77" s="17" t="str">
        <f>IFERROR(VLOOKUP(C77,Merchants!$A$2:$D$41,3,FALSE),"Merchant not found")</f>
        <v>travel</v>
      </c>
      <c r="K77" s="17" t="str">
        <f>IFERROR(VLOOKUP(C77,Merchants!$A$2:$D$41,4,FALSE),"Merchant not found")</f>
        <v>North</v>
      </c>
      <c r="L77" s="19">
        <f>_xlfn.IFNA(HLOOKUP(F77,'MDR Rates'!$C$1:$F$2,2,FALSE),"N/A")</f>
        <v>0</v>
      </c>
      <c r="M77" s="20">
        <f t="shared" si="3"/>
        <v>46048</v>
      </c>
      <c r="N77" s="17">
        <f t="shared" si="5"/>
        <v>4999</v>
      </c>
      <c r="O77" s="17">
        <f>GETPIVOTDATA("amount_inr",'Pivot Table'!$A$3,"merchant_name",I77,"Date",M77)</f>
        <v>4999</v>
      </c>
      <c r="P77" s="17" t="str">
        <f t="shared" si="4"/>
        <v>Standard</v>
      </c>
    </row>
    <row r="78" spans="1:16">
      <c r="A78" s="17" t="s">
        <v>91</v>
      </c>
      <c r="B78" s="17">
        <v>340</v>
      </c>
      <c r="C78" s="17">
        <v>38</v>
      </c>
      <c r="D78" s="18">
        <v>46045.3048611111</v>
      </c>
      <c r="E78" s="17">
        <v>499</v>
      </c>
      <c r="F78" s="17" t="s">
        <v>24</v>
      </c>
      <c r="G78" s="17" t="s">
        <v>10</v>
      </c>
      <c r="H78" s="17">
        <v>47</v>
      </c>
      <c r="I78" s="17" t="str">
        <f>IFERROR(VLOOKUP(C78,Merchants!$A$2:$D$41,2,FALSE),"Merchant not found")</f>
        <v>Merchant_038</v>
      </c>
      <c r="J78" s="17" t="str">
        <f>IFERROR(VLOOKUP(C78,Merchants!$A$2:$D$41,3,FALSE),"Merchant not found")</f>
        <v>grocery</v>
      </c>
      <c r="K78" s="17" t="str">
        <f>IFERROR(VLOOKUP(C78,Merchants!$A$2:$D$41,4,FALSE),"Merchant not found")</f>
        <v>East</v>
      </c>
      <c r="L78" s="19">
        <f>_xlfn.IFNA(HLOOKUP(F78,'MDR Rates'!$C$1:$F$2,2,FALSE),"N/A")</f>
        <v>0.02</v>
      </c>
      <c r="M78" s="20">
        <f t="shared" si="3"/>
        <v>46045</v>
      </c>
      <c r="N78" s="17">
        <f t="shared" si="5"/>
        <v>499</v>
      </c>
      <c r="O78" s="17">
        <f>GETPIVOTDATA("amount_inr",'Pivot Table'!$A$3,"merchant_name",I78,"Date",M78)</f>
        <v>499</v>
      </c>
      <c r="P78" s="17" t="str">
        <f t="shared" si="4"/>
        <v>Standard</v>
      </c>
    </row>
    <row r="79" spans="1:16">
      <c r="A79" s="17" t="s">
        <v>92</v>
      </c>
      <c r="B79" s="17">
        <v>177</v>
      </c>
      <c r="C79" s="17">
        <v>28</v>
      </c>
      <c r="D79" s="18">
        <v>46038.73125</v>
      </c>
      <c r="E79" s="17">
        <v>299</v>
      </c>
      <c r="F79" s="17" t="s">
        <v>12</v>
      </c>
      <c r="G79" s="17" t="s">
        <v>10</v>
      </c>
      <c r="H79" s="17">
        <v>95</v>
      </c>
      <c r="I79" s="17" t="str">
        <f>IFERROR(VLOOKUP(C79,Merchants!$A$2:$D$41,2,FALSE),"Merchant not found")</f>
        <v>Merchant_028</v>
      </c>
      <c r="J79" s="17" t="str">
        <f>IFERROR(VLOOKUP(C79,Merchants!$A$2:$D$41,3,FALSE),"Merchant not found")</f>
        <v>ecommerce</v>
      </c>
      <c r="K79" s="17" t="str">
        <f>IFERROR(VLOOKUP(C79,Merchants!$A$2:$D$41,4,FALSE),"Merchant not found")</f>
        <v>South</v>
      </c>
      <c r="L79" s="19">
        <f>_xlfn.IFNA(HLOOKUP(F79,'MDR Rates'!$C$1:$F$2,2,FALSE),"N/A")</f>
        <v>0</v>
      </c>
      <c r="M79" s="20">
        <f t="shared" si="3"/>
        <v>46038</v>
      </c>
      <c r="N79" s="17">
        <f t="shared" si="5"/>
        <v>299</v>
      </c>
      <c r="O79" s="17">
        <f>GETPIVOTDATA("amount_inr",'Pivot Table'!$A$3,"merchant_name",I79,"Date",M79)</f>
        <v>299</v>
      </c>
      <c r="P79" s="17" t="str">
        <f t="shared" si="4"/>
        <v>Standard</v>
      </c>
    </row>
    <row r="80" spans="1:16">
      <c r="A80" s="17" t="s">
        <v>93</v>
      </c>
      <c r="B80" s="17">
        <v>233</v>
      </c>
      <c r="C80" s="17">
        <v>18</v>
      </c>
      <c r="D80" s="18">
        <v>46040.4319444444</v>
      </c>
      <c r="E80" s="17">
        <v>499</v>
      </c>
      <c r="F80" s="17" t="s">
        <v>12</v>
      </c>
      <c r="G80" s="17" t="s">
        <v>10</v>
      </c>
      <c r="H80" s="17">
        <v>39</v>
      </c>
      <c r="I80" s="17" t="str">
        <f>IFERROR(VLOOKUP(C80,Merchants!$A$2:$D$41,2,FALSE),"Merchant not found")</f>
        <v>Merchant_018</v>
      </c>
      <c r="J80" s="17" t="str">
        <f>IFERROR(VLOOKUP(C80,Merchants!$A$2:$D$41,3,FALSE),"Merchant not found")</f>
        <v>grocery</v>
      </c>
      <c r="K80" s="17" t="str">
        <f>IFERROR(VLOOKUP(C80,Merchants!$A$2:$D$41,4,FALSE),"Merchant not found")</f>
        <v>West</v>
      </c>
      <c r="L80" s="19">
        <f>_xlfn.IFNA(HLOOKUP(F80,'MDR Rates'!$C$1:$F$2,2,FALSE),"N/A")</f>
        <v>0</v>
      </c>
      <c r="M80" s="20">
        <f t="shared" si="3"/>
        <v>46040</v>
      </c>
      <c r="N80" s="17">
        <f t="shared" si="5"/>
        <v>499</v>
      </c>
      <c r="O80" s="17">
        <f>GETPIVOTDATA("amount_inr",'Pivot Table'!$A$3,"merchant_name",I80,"Date",M80)</f>
        <v>499</v>
      </c>
      <c r="P80" s="17" t="str">
        <f t="shared" si="4"/>
        <v>Standard</v>
      </c>
    </row>
    <row r="81" spans="1:16">
      <c r="A81" s="17" t="s">
        <v>94</v>
      </c>
      <c r="B81" s="17">
        <v>99</v>
      </c>
      <c r="C81" s="17">
        <v>21</v>
      </c>
      <c r="D81" s="18">
        <v>46031.2965277778</v>
      </c>
      <c r="E81" s="17">
        <v>499</v>
      </c>
      <c r="F81" s="17" t="s">
        <v>12</v>
      </c>
      <c r="G81" s="17" t="s">
        <v>10</v>
      </c>
      <c r="H81" s="17">
        <v>15</v>
      </c>
      <c r="I81" s="17" t="str">
        <f>IFERROR(VLOOKUP(C81,Merchants!$A$2:$D$41,2,FALSE),"Merchant not found")</f>
        <v>Merchant_021</v>
      </c>
      <c r="J81" s="17" t="str">
        <f>IFERROR(VLOOKUP(C81,Merchants!$A$2:$D$41,3,FALSE),"Merchant not found")</f>
        <v>food_delivery</v>
      </c>
      <c r="K81" s="17" t="str">
        <f>IFERROR(VLOOKUP(C81,Merchants!$A$2:$D$41,4,FALSE),"Merchant not found")</f>
        <v>East</v>
      </c>
      <c r="L81" s="19">
        <f>_xlfn.IFNA(HLOOKUP(F81,'MDR Rates'!$C$1:$F$2,2,FALSE),"N/A")</f>
        <v>0</v>
      </c>
      <c r="M81" s="20">
        <f t="shared" si="3"/>
        <v>46031</v>
      </c>
      <c r="N81" s="17">
        <f t="shared" si="5"/>
        <v>499</v>
      </c>
      <c r="O81" s="17">
        <f>GETPIVOTDATA("amount_inr",'Pivot Table'!$A$3,"merchant_name",I81,"Date",M81)</f>
        <v>499</v>
      </c>
      <c r="P81" s="17" t="str">
        <f t="shared" si="4"/>
        <v>Standard</v>
      </c>
    </row>
    <row r="82" spans="1:16">
      <c r="A82" s="17" t="s">
        <v>95</v>
      </c>
      <c r="B82" s="17">
        <v>95</v>
      </c>
      <c r="C82" s="17">
        <v>13</v>
      </c>
      <c r="D82" s="18">
        <v>46046.7416666667</v>
      </c>
      <c r="E82" s="17">
        <v>2999</v>
      </c>
      <c r="F82" s="17" t="s">
        <v>15</v>
      </c>
      <c r="G82" s="17" t="s">
        <v>25</v>
      </c>
      <c r="H82" s="17">
        <v>27</v>
      </c>
      <c r="I82" s="17" t="str">
        <f>IFERROR(VLOOKUP(C82,Merchants!$A$2:$D$41,2,FALSE),"Merchant not found")</f>
        <v>Merchant_013</v>
      </c>
      <c r="J82" s="17" t="str">
        <f>IFERROR(VLOOKUP(C82,Merchants!$A$2:$D$41,3,FALSE),"Merchant not found")</f>
        <v>travel</v>
      </c>
      <c r="K82" s="17" t="str">
        <f>IFERROR(VLOOKUP(C82,Merchants!$A$2:$D$41,4,FALSE),"Merchant not found")</f>
        <v>East</v>
      </c>
      <c r="L82" s="19">
        <f>_xlfn.IFNA(HLOOKUP(F82,'MDR Rates'!$C$1:$F$2,2,FALSE),"N/A")</f>
        <v>0.015</v>
      </c>
      <c r="M82" s="20">
        <f t="shared" si="3"/>
        <v>46046</v>
      </c>
      <c r="N82" s="17">
        <f t="shared" si="5"/>
        <v>2999</v>
      </c>
      <c r="O82" s="17">
        <f>GETPIVOTDATA("amount_inr",'Pivot Table'!$A$3,"merchant_name",I82,"Date",M82)</f>
        <v>2999</v>
      </c>
      <c r="P82" s="17" t="str">
        <f t="shared" si="4"/>
        <v>Standard</v>
      </c>
    </row>
    <row r="83" spans="1:16">
      <c r="A83" s="17" t="s">
        <v>96</v>
      </c>
      <c r="B83" s="17">
        <v>302</v>
      </c>
      <c r="C83" s="17">
        <v>34</v>
      </c>
      <c r="D83" s="18">
        <v>46046.6368055556</v>
      </c>
      <c r="E83" s="17">
        <v>49</v>
      </c>
      <c r="F83" s="17" t="s">
        <v>15</v>
      </c>
      <c r="G83" s="17" t="s">
        <v>10</v>
      </c>
      <c r="H83" s="17">
        <v>76</v>
      </c>
      <c r="I83" s="17" t="str">
        <f>IFERROR(VLOOKUP(C83,Merchants!$A$2:$D$41,2,FALSE),"Merchant not found")</f>
        <v>Merchant_034</v>
      </c>
      <c r="J83" s="17" t="str">
        <f>IFERROR(VLOOKUP(C83,Merchants!$A$2:$D$41,3,FALSE),"Merchant not found")</f>
        <v>travel</v>
      </c>
      <c r="K83" s="17" t="str">
        <f>IFERROR(VLOOKUP(C83,Merchants!$A$2:$D$41,4,FALSE),"Merchant not found")</f>
        <v>South</v>
      </c>
      <c r="L83" s="19">
        <f>_xlfn.IFNA(HLOOKUP(F83,'MDR Rates'!$C$1:$F$2,2,FALSE),"N/A")</f>
        <v>0.015</v>
      </c>
      <c r="M83" s="20">
        <f t="shared" si="3"/>
        <v>46046</v>
      </c>
      <c r="N83" s="17">
        <f t="shared" si="5"/>
        <v>548</v>
      </c>
      <c r="O83" s="17">
        <f>GETPIVOTDATA("amount_inr",'Pivot Table'!$A$3,"merchant_name",I83,"Date",M83)</f>
        <v>548</v>
      </c>
      <c r="P83" s="17" t="str">
        <f t="shared" si="4"/>
        <v>Standard</v>
      </c>
    </row>
    <row r="84" spans="1:16">
      <c r="A84" s="17" t="s">
        <v>97</v>
      </c>
      <c r="B84" s="17">
        <v>100</v>
      </c>
      <c r="C84" s="17">
        <v>19</v>
      </c>
      <c r="D84" s="18">
        <v>46032.1618055556</v>
      </c>
      <c r="E84" s="17">
        <v>2999</v>
      </c>
      <c r="F84" s="17" t="s">
        <v>15</v>
      </c>
      <c r="G84" s="17" t="s">
        <v>10</v>
      </c>
      <c r="H84" s="17">
        <v>29</v>
      </c>
      <c r="I84" s="17" t="str">
        <f>IFERROR(VLOOKUP(C84,Merchants!$A$2:$D$41,2,FALSE),"Merchant not found")</f>
        <v>Merchant_019</v>
      </c>
      <c r="J84" s="17" t="str">
        <f>IFERROR(VLOOKUP(C84,Merchants!$A$2:$D$41,3,FALSE),"Merchant not found")</f>
        <v>grocery</v>
      </c>
      <c r="K84" s="17" t="str">
        <f>IFERROR(VLOOKUP(C84,Merchants!$A$2:$D$41,4,FALSE),"Merchant not found")</f>
        <v>North</v>
      </c>
      <c r="L84" s="19">
        <f>_xlfn.IFNA(HLOOKUP(F84,'MDR Rates'!$C$1:$F$2,2,FALSE),"N/A")</f>
        <v>0.015</v>
      </c>
      <c r="M84" s="20">
        <f t="shared" si="3"/>
        <v>46032</v>
      </c>
      <c r="N84" s="17">
        <f t="shared" si="5"/>
        <v>2999</v>
      </c>
      <c r="O84" s="17">
        <f>GETPIVOTDATA("amount_inr",'Pivot Table'!$A$3,"merchant_name",I84,"Date",M84)</f>
        <v>2999</v>
      </c>
      <c r="P84" s="17" t="str">
        <f t="shared" si="4"/>
        <v>Standard</v>
      </c>
    </row>
    <row r="85" spans="1:16">
      <c r="A85" s="17" t="s">
        <v>98</v>
      </c>
      <c r="B85" s="17">
        <v>8</v>
      </c>
      <c r="C85" s="17">
        <v>35</v>
      </c>
      <c r="D85" s="18">
        <v>46034.2215277778</v>
      </c>
      <c r="E85" s="17">
        <v>99</v>
      </c>
      <c r="F85" s="17" t="s">
        <v>12</v>
      </c>
      <c r="G85" s="17" t="s">
        <v>10</v>
      </c>
      <c r="H85" s="17">
        <v>16</v>
      </c>
      <c r="I85" s="17" t="str">
        <f>IFERROR(VLOOKUP(C85,Merchants!$A$2:$D$41,2,FALSE),"Merchant not found")</f>
        <v>Merchant_035</v>
      </c>
      <c r="J85" s="17" t="str">
        <f>IFERROR(VLOOKUP(C85,Merchants!$A$2:$D$41,3,FALSE),"Merchant not found")</f>
        <v>recharge</v>
      </c>
      <c r="K85" s="17" t="str">
        <f>IFERROR(VLOOKUP(C85,Merchants!$A$2:$D$41,4,FALSE),"Merchant not found")</f>
        <v>East</v>
      </c>
      <c r="L85" s="19">
        <f>_xlfn.IFNA(HLOOKUP(F85,'MDR Rates'!$C$1:$F$2,2,FALSE),"N/A")</f>
        <v>0</v>
      </c>
      <c r="M85" s="20">
        <f t="shared" si="3"/>
        <v>46034</v>
      </c>
      <c r="N85" s="17">
        <f t="shared" si="5"/>
        <v>99</v>
      </c>
      <c r="O85" s="17">
        <f>GETPIVOTDATA("amount_inr",'Pivot Table'!$A$3,"merchant_name",I85,"Date",M85)</f>
        <v>99</v>
      </c>
      <c r="P85" s="17" t="str">
        <f t="shared" si="4"/>
        <v>Standard</v>
      </c>
    </row>
    <row r="86" spans="1:16">
      <c r="A86" s="17" t="s">
        <v>99</v>
      </c>
      <c r="B86" s="17">
        <v>284</v>
      </c>
      <c r="C86" s="17">
        <v>19</v>
      </c>
      <c r="D86" s="18">
        <v>46031.04375</v>
      </c>
      <c r="E86" s="17">
        <v>99</v>
      </c>
      <c r="F86" s="17" t="s">
        <v>12</v>
      </c>
      <c r="G86" s="17" t="s">
        <v>10</v>
      </c>
      <c r="H86" s="17">
        <v>89</v>
      </c>
      <c r="I86" s="17" t="str">
        <f>IFERROR(VLOOKUP(C86,Merchants!$A$2:$D$41,2,FALSE),"Merchant not found")</f>
        <v>Merchant_019</v>
      </c>
      <c r="J86" s="17" t="str">
        <f>IFERROR(VLOOKUP(C86,Merchants!$A$2:$D$41,3,FALSE),"Merchant not found")</f>
        <v>grocery</v>
      </c>
      <c r="K86" s="17" t="str">
        <f>IFERROR(VLOOKUP(C86,Merchants!$A$2:$D$41,4,FALSE),"Merchant not found")</f>
        <v>North</v>
      </c>
      <c r="L86" s="19">
        <f>_xlfn.IFNA(HLOOKUP(F86,'MDR Rates'!$C$1:$F$2,2,FALSE),"N/A")</f>
        <v>0</v>
      </c>
      <c r="M86" s="20">
        <f t="shared" si="3"/>
        <v>46031</v>
      </c>
      <c r="N86" s="17">
        <f t="shared" si="5"/>
        <v>99</v>
      </c>
      <c r="O86" s="17">
        <f>GETPIVOTDATA("amount_inr",'Pivot Table'!$A$3,"merchant_name",I86,"Date",M86)</f>
        <v>99</v>
      </c>
      <c r="P86" s="17" t="str">
        <f t="shared" si="4"/>
        <v>Standard</v>
      </c>
    </row>
    <row r="87" spans="1:16">
      <c r="A87" s="17" t="s">
        <v>100</v>
      </c>
      <c r="B87" s="17">
        <v>252</v>
      </c>
      <c r="C87" s="17">
        <v>7</v>
      </c>
      <c r="D87" s="18">
        <v>46027.8715277778</v>
      </c>
      <c r="E87" s="17">
        <v>2999</v>
      </c>
      <c r="F87" s="17" t="s">
        <v>9</v>
      </c>
      <c r="G87" s="17" t="s">
        <v>10</v>
      </c>
      <c r="H87" s="17">
        <v>1</v>
      </c>
      <c r="I87" s="17" t="str">
        <f>IFERROR(VLOOKUP(C87,Merchants!$A$2:$D$41,2,FALSE),"Merchant not found")</f>
        <v>Merchant_007</v>
      </c>
      <c r="J87" s="17" t="str">
        <f>IFERROR(VLOOKUP(C87,Merchants!$A$2:$D$41,3,FALSE),"Merchant not found")</f>
        <v>food_delivery</v>
      </c>
      <c r="K87" s="17" t="str">
        <f>IFERROR(VLOOKUP(C87,Merchants!$A$2:$D$41,4,FALSE),"Merchant not found")</f>
        <v>East</v>
      </c>
      <c r="L87" s="19">
        <f>_xlfn.IFNA(HLOOKUP(F87,'MDR Rates'!$C$1:$F$2,2,FALSE),"N/A")</f>
        <v>0.01</v>
      </c>
      <c r="M87" s="20">
        <f t="shared" si="3"/>
        <v>46027</v>
      </c>
      <c r="N87" s="17">
        <f t="shared" si="5"/>
        <v>4498</v>
      </c>
      <c r="O87" s="17">
        <f>GETPIVOTDATA("amount_inr",'Pivot Table'!$A$3,"merchant_name",I87,"Date",M87)</f>
        <v>4498</v>
      </c>
      <c r="P87" s="17" t="str">
        <f t="shared" si="4"/>
        <v>Standard</v>
      </c>
    </row>
    <row r="88" spans="1:16">
      <c r="A88" s="17" t="s">
        <v>101</v>
      </c>
      <c r="B88" s="17">
        <v>246</v>
      </c>
      <c r="C88" s="17">
        <v>29</v>
      </c>
      <c r="D88" s="18">
        <v>46041.3958333333</v>
      </c>
      <c r="E88" s="17">
        <v>49</v>
      </c>
      <c r="F88" s="17" t="s">
        <v>9</v>
      </c>
      <c r="G88" s="17" t="s">
        <v>10</v>
      </c>
      <c r="H88" s="17">
        <v>43</v>
      </c>
      <c r="I88" s="17" t="str">
        <f>IFERROR(VLOOKUP(C88,Merchants!$A$2:$D$41,2,FALSE),"Merchant not found")</f>
        <v>Merchant_029</v>
      </c>
      <c r="J88" s="17" t="str">
        <f>IFERROR(VLOOKUP(C88,Merchants!$A$2:$D$41,3,FALSE),"Merchant not found")</f>
        <v>ecommerce</v>
      </c>
      <c r="K88" s="17" t="str">
        <f>IFERROR(VLOOKUP(C88,Merchants!$A$2:$D$41,4,FALSE),"Merchant not found")</f>
        <v>North</v>
      </c>
      <c r="L88" s="19">
        <f>_xlfn.IFNA(HLOOKUP(F88,'MDR Rates'!$C$1:$F$2,2,FALSE),"N/A")</f>
        <v>0.01</v>
      </c>
      <c r="M88" s="20">
        <f t="shared" si="3"/>
        <v>46041</v>
      </c>
      <c r="N88" s="17">
        <f t="shared" si="5"/>
        <v>49</v>
      </c>
      <c r="O88" s="17">
        <f>GETPIVOTDATA("amount_inr",'Pivot Table'!$A$3,"merchant_name",I88,"Date",M88)</f>
        <v>49</v>
      </c>
      <c r="P88" s="17" t="str">
        <f t="shared" si="4"/>
        <v>Standard</v>
      </c>
    </row>
    <row r="89" spans="1:16">
      <c r="A89" s="17" t="s">
        <v>102</v>
      </c>
      <c r="B89" s="17">
        <v>245</v>
      </c>
      <c r="C89" s="17">
        <v>8</v>
      </c>
      <c r="D89" s="18">
        <v>46028.0527777778</v>
      </c>
      <c r="E89" s="17">
        <v>49</v>
      </c>
      <c r="F89" s="17" t="s">
        <v>12</v>
      </c>
      <c r="G89" s="17" t="s">
        <v>38</v>
      </c>
      <c r="H89" s="17">
        <v>8</v>
      </c>
      <c r="I89" s="17" t="str">
        <f>IFERROR(VLOOKUP(C89,Merchants!$A$2:$D$41,2,FALSE),"Merchant not found")</f>
        <v>Merchant_008</v>
      </c>
      <c r="J89" s="17" t="str">
        <f>IFERROR(VLOOKUP(C89,Merchants!$A$2:$D$41,3,FALSE),"Merchant not found")</f>
        <v>food_delivery</v>
      </c>
      <c r="K89" s="17" t="str">
        <f>IFERROR(VLOOKUP(C89,Merchants!$A$2:$D$41,4,FALSE),"Merchant not found")</f>
        <v>North</v>
      </c>
      <c r="L89" s="19">
        <f>_xlfn.IFNA(HLOOKUP(F89,'MDR Rates'!$C$1:$F$2,2,FALSE),"N/A")</f>
        <v>0</v>
      </c>
      <c r="M89" s="20">
        <f t="shared" si="3"/>
        <v>46028</v>
      </c>
      <c r="N89" s="17">
        <f t="shared" si="5"/>
        <v>49</v>
      </c>
      <c r="O89" s="17">
        <f>GETPIVOTDATA("amount_inr",'Pivot Table'!$A$3,"merchant_name",I89,"Date",M89)</f>
        <v>49</v>
      </c>
      <c r="P89" s="17" t="str">
        <f t="shared" si="4"/>
        <v>Standard</v>
      </c>
    </row>
    <row r="90" spans="1:16">
      <c r="A90" s="17" t="s">
        <v>103</v>
      </c>
      <c r="B90" s="17">
        <v>296</v>
      </c>
      <c r="C90" s="17">
        <v>4</v>
      </c>
      <c r="D90" s="18">
        <v>46035.6277777778</v>
      </c>
      <c r="E90" s="17">
        <v>799</v>
      </c>
      <c r="F90" s="17" t="s">
        <v>9</v>
      </c>
      <c r="G90" s="17" t="s">
        <v>10</v>
      </c>
      <c r="H90" s="17">
        <v>19</v>
      </c>
      <c r="I90" s="17" t="str">
        <f>IFERROR(VLOOKUP(C90,Merchants!$A$2:$D$41,2,FALSE),"Merchant not found")</f>
        <v>Merchant_004</v>
      </c>
      <c r="J90" s="17" t="str">
        <f>IFERROR(VLOOKUP(C90,Merchants!$A$2:$D$41,3,FALSE),"Merchant not found")</f>
        <v>ecommerce</v>
      </c>
      <c r="K90" s="17" t="str">
        <f>IFERROR(VLOOKUP(C90,Merchants!$A$2:$D$41,4,FALSE),"Merchant not found")</f>
        <v>East</v>
      </c>
      <c r="L90" s="19">
        <f>_xlfn.IFNA(HLOOKUP(F90,'MDR Rates'!$C$1:$F$2,2,FALSE),"N/A")</f>
        <v>0.01</v>
      </c>
      <c r="M90" s="20">
        <f t="shared" si="3"/>
        <v>46035</v>
      </c>
      <c r="N90" s="17">
        <f t="shared" si="5"/>
        <v>948</v>
      </c>
      <c r="O90" s="17">
        <f>GETPIVOTDATA("amount_inr",'Pivot Table'!$A$3,"merchant_name",I90,"Date",M90)</f>
        <v>948</v>
      </c>
      <c r="P90" s="17" t="str">
        <f t="shared" si="4"/>
        <v>Standard</v>
      </c>
    </row>
    <row r="91" spans="1:16">
      <c r="A91" s="17" t="s">
        <v>104</v>
      </c>
      <c r="B91" s="17">
        <v>44</v>
      </c>
      <c r="C91" s="17">
        <v>16</v>
      </c>
      <c r="D91" s="18">
        <v>46027.7631944444</v>
      </c>
      <c r="E91" s="17">
        <v>149</v>
      </c>
      <c r="F91" s="17" t="s">
        <v>12</v>
      </c>
      <c r="G91" s="17" t="s">
        <v>10</v>
      </c>
      <c r="H91" s="17">
        <v>15</v>
      </c>
      <c r="I91" s="17" t="str">
        <f>IFERROR(VLOOKUP(C91,Merchants!$A$2:$D$41,2,FALSE),"Merchant not found")</f>
        <v>Merchant_016</v>
      </c>
      <c r="J91" s="17" t="str">
        <f>IFERROR(VLOOKUP(C91,Merchants!$A$2:$D$41,3,FALSE),"Merchant not found")</f>
        <v>bill_payment</v>
      </c>
      <c r="K91" s="17" t="str">
        <f>IFERROR(VLOOKUP(C91,Merchants!$A$2:$D$41,4,FALSE),"Merchant not found")</f>
        <v>West</v>
      </c>
      <c r="L91" s="19">
        <f>_xlfn.IFNA(HLOOKUP(F91,'MDR Rates'!$C$1:$F$2,2,FALSE),"N/A")</f>
        <v>0</v>
      </c>
      <c r="M91" s="20">
        <f t="shared" si="3"/>
        <v>46027</v>
      </c>
      <c r="N91" s="17">
        <f t="shared" si="5"/>
        <v>149</v>
      </c>
      <c r="O91" s="17">
        <f>GETPIVOTDATA("amount_inr",'Pivot Table'!$A$3,"merchant_name",I91,"Date",M91)</f>
        <v>149</v>
      </c>
      <c r="P91" s="17" t="str">
        <f t="shared" si="4"/>
        <v>Standard</v>
      </c>
    </row>
    <row r="92" spans="1:16">
      <c r="A92" s="17" t="s">
        <v>105</v>
      </c>
      <c r="B92" s="17">
        <v>306</v>
      </c>
      <c r="C92" s="17">
        <v>40</v>
      </c>
      <c r="D92" s="18">
        <v>46040.5680555556</v>
      </c>
      <c r="E92" s="17">
        <v>799</v>
      </c>
      <c r="F92" s="17" t="s">
        <v>24</v>
      </c>
      <c r="G92" s="17" t="s">
        <v>10</v>
      </c>
      <c r="H92" s="17">
        <v>28</v>
      </c>
      <c r="I92" s="17" t="str">
        <f>IFERROR(VLOOKUP(C92,Merchants!$A$2:$D$41,2,FALSE),"Merchant not found")</f>
        <v>Merchant_040</v>
      </c>
      <c r="J92" s="17" t="str">
        <f>IFERROR(VLOOKUP(C92,Merchants!$A$2:$D$41,3,FALSE),"Merchant not found")</f>
        <v>entertainment</v>
      </c>
      <c r="K92" s="17" t="str">
        <f>IFERROR(VLOOKUP(C92,Merchants!$A$2:$D$41,4,FALSE),"Merchant not found")</f>
        <v>South</v>
      </c>
      <c r="L92" s="19">
        <f>_xlfn.IFNA(HLOOKUP(F92,'MDR Rates'!$C$1:$F$2,2,FALSE),"N/A")</f>
        <v>0.02</v>
      </c>
      <c r="M92" s="20">
        <f t="shared" si="3"/>
        <v>46040</v>
      </c>
      <c r="N92" s="17">
        <f t="shared" si="5"/>
        <v>799</v>
      </c>
      <c r="O92" s="17">
        <f>GETPIVOTDATA("amount_inr",'Pivot Table'!$A$3,"merchant_name",I92,"Date",M92)</f>
        <v>799</v>
      </c>
      <c r="P92" s="17" t="str">
        <f t="shared" si="4"/>
        <v>Standard</v>
      </c>
    </row>
    <row r="93" spans="1:16">
      <c r="A93" s="17" t="s">
        <v>106</v>
      </c>
      <c r="B93" s="17">
        <v>231</v>
      </c>
      <c r="C93" s="17">
        <v>29</v>
      </c>
      <c r="D93" s="18">
        <v>46047.6833333333</v>
      </c>
      <c r="E93" s="17">
        <v>299</v>
      </c>
      <c r="F93" s="17" t="s">
        <v>12</v>
      </c>
      <c r="G93" s="17" t="s">
        <v>10</v>
      </c>
      <c r="H93" s="17">
        <v>38</v>
      </c>
      <c r="I93" s="17" t="str">
        <f>IFERROR(VLOOKUP(C93,Merchants!$A$2:$D$41,2,FALSE),"Merchant not found")</f>
        <v>Merchant_029</v>
      </c>
      <c r="J93" s="17" t="str">
        <f>IFERROR(VLOOKUP(C93,Merchants!$A$2:$D$41,3,FALSE),"Merchant not found")</f>
        <v>ecommerce</v>
      </c>
      <c r="K93" s="17" t="str">
        <f>IFERROR(VLOOKUP(C93,Merchants!$A$2:$D$41,4,FALSE),"Merchant not found")</f>
        <v>North</v>
      </c>
      <c r="L93" s="19">
        <f>_xlfn.IFNA(HLOOKUP(F93,'MDR Rates'!$C$1:$F$2,2,FALSE),"N/A")</f>
        <v>0</v>
      </c>
      <c r="M93" s="20">
        <f t="shared" si="3"/>
        <v>46047</v>
      </c>
      <c r="N93" s="17">
        <f t="shared" si="5"/>
        <v>3896</v>
      </c>
      <c r="O93" s="17">
        <f>GETPIVOTDATA("amount_inr",'Pivot Table'!$A$3,"merchant_name",I93,"Date",M93)</f>
        <v>3896</v>
      </c>
      <c r="P93" s="17" t="str">
        <f t="shared" si="4"/>
        <v>Standard</v>
      </c>
    </row>
    <row r="94" spans="1:16">
      <c r="A94" s="17" t="s">
        <v>107</v>
      </c>
      <c r="B94" s="17">
        <v>157</v>
      </c>
      <c r="C94" s="17">
        <v>37</v>
      </c>
      <c r="D94" s="18">
        <v>46050.76875</v>
      </c>
      <c r="E94" s="17">
        <v>499</v>
      </c>
      <c r="F94" s="17" t="s">
        <v>9</v>
      </c>
      <c r="G94" s="17" t="s">
        <v>10</v>
      </c>
      <c r="H94" s="17">
        <v>79</v>
      </c>
      <c r="I94" s="17" t="str">
        <f>IFERROR(VLOOKUP(C94,Merchants!$A$2:$D$41,2,FALSE),"Merchant not found")</f>
        <v>Merchant_037</v>
      </c>
      <c r="J94" s="17" t="str">
        <f>IFERROR(VLOOKUP(C94,Merchants!$A$2:$D$41,3,FALSE),"Merchant not found")</f>
        <v>entertainment</v>
      </c>
      <c r="K94" s="17" t="str">
        <f>IFERROR(VLOOKUP(C94,Merchants!$A$2:$D$41,4,FALSE),"Merchant not found")</f>
        <v>South</v>
      </c>
      <c r="L94" s="19">
        <f>_xlfn.IFNA(HLOOKUP(F94,'MDR Rates'!$C$1:$F$2,2,FALSE),"N/A")</f>
        <v>0.01</v>
      </c>
      <c r="M94" s="20">
        <f t="shared" si="3"/>
        <v>46050</v>
      </c>
      <c r="N94" s="17">
        <f t="shared" si="5"/>
        <v>697</v>
      </c>
      <c r="O94" s="17">
        <f>GETPIVOTDATA("amount_inr",'Pivot Table'!$A$3,"merchant_name",I94,"Date",M94)</f>
        <v>697</v>
      </c>
      <c r="P94" s="17" t="str">
        <f t="shared" si="4"/>
        <v>Standard</v>
      </c>
    </row>
    <row r="95" spans="1:16">
      <c r="A95" s="17" t="s">
        <v>108</v>
      </c>
      <c r="B95" s="17">
        <v>51</v>
      </c>
      <c r="C95" s="17">
        <v>14</v>
      </c>
      <c r="D95" s="18">
        <v>46024.8243055556</v>
      </c>
      <c r="E95" s="17">
        <v>1499</v>
      </c>
      <c r="F95" s="17" t="s">
        <v>12</v>
      </c>
      <c r="G95" s="17" t="s">
        <v>10</v>
      </c>
      <c r="H95" s="17">
        <v>80</v>
      </c>
      <c r="I95" s="17" t="str">
        <f>IFERROR(VLOOKUP(C95,Merchants!$A$2:$D$41,2,FALSE),"Merchant not found")</f>
        <v>Merchant_014</v>
      </c>
      <c r="J95" s="17" t="str">
        <f>IFERROR(VLOOKUP(C95,Merchants!$A$2:$D$41,3,FALSE),"Merchant not found")</f>
        <v>grocery</v>
      </c>
      <c r="K95" s="17" t="str">
        <f>IFERROR(VLOOKUP(C95,Merchants!$A$2:$D$41,4,FALSE),"Merchant not found")</f>
        <v>East</v>
      </c>
      <c r="L95" s="19">
        <f>_xlfn.IFNA(HLOOKUP(F95,'MDR Rates'!$C$1:$F$2,2,FALSE),"N/A")</f>
        <v>0</v>
      </c>
      <c r="M95" s="20">
        <f t="shared" si="3"/>
        <v>46024</v>
      </c>
      <c r="N95" s="17">
        <f t="shared" si="5"/>
        <v>1499</v>
      </c>
      <c r="O95" s="17">
        <f>GETPIVOTDATA("amount_inr",'Pivot Table'!$A$3,"merchant_name",I95,"Date",M95)</f>
        <v>1499</v>
      </c>
      <c r="P95" s="17" t="str">
        <f t="shared" si="4"/>
        <v>Standard</v>
      </c>
    </row>
    <row r="96" spans="1:16">
      <c r="A96" s="17" t="s">
        <v>109</v>
      </c>
      <c r="B96" s="17">
        <v>42</v>
      </c>
      <c r="C96" s="17">
        <v>11</v>
      </c>
      <c r="D96" s="18">
        <v>46029.3625</v>
      </c>
      <c r="E96" s="17">
        <v>49</v>
      </c>
      <c r="F96" s="17" t="s">
        <v>9</v>
      </c>
      <c r="G96" s="17" t="s">
        <v>10</v>
      </c>
      <c r="H96" s="17">
        <v>30</v>
      </c>
      <c r="I96" s="17" t="str">
        <f>IFERROR(VLOOKUP(C96,Merchants!$A$2:$D$41,2,FALSE),"Merchant not found")</f>
        <v>Merchant_011</v>
      </c>
      <c r="J96" s="17" t="str">
        <f>IFERROR(VLOOKUP(C96,Merchants!$A$2:$D$41,3,FALSE),"Merchant not found")</f>
        <v>ecommerce</v>
      </c>
      <c r="K96" s="17" t="str">
        <f>IFERROR(VLOOKUP(C96,Merchants!$A$2:$D$41,4,FALSE),"Merchant not found")</f>
        <v>North</v>
      </c>
      <c r="L96" s="19">
        <f>_xlfn.IFNA(HLOOKUP(F96,'MDR Rates'!$C$1:$F$2,2,FALSE),"N/A")</f>
        <v>0.01</v>
      </c>
      <c r="M96" s="20">
        <f t="shared" si="3"/>
        <v>46029</v>
      </c>
      <c r="N96" s="17">
        <f t="shared" si="5"/>
        <v>49</v>
      </c>
      <c r="O96" s="17">
        <f>GETPIVOTDATA("amount_inr",'Pivot Table'!$A$3,"merchant_name",I96,"Date",M96)</f>
        <v>49</v>
      </c>
      <c r="P96" s="17" t="str">
        <f t="shared" si="4"/>
        <v>Standard</v>
      </c>
    </row>
    <row r="97" spans="1:16">
      <c r="A97" s="17" t="s">
        <v>110</v>
      </c>
      <c r="B97" s="17">
        <v>81</v>
      </c>
      <c r="C97" s="17">
        <v>1</v>
      </c>
      <c r="D97" s="18">
        <v>46028.7111111111</v>
      </c>
      <c r="E97" s="17">
        <v>149</v>
      </c>
      <c r="F97" s="17" t="s">
        <v>12</v>
      </c>
      <c r="G97" s="17" t="s">
        <v>10</v>
      </c>
      <c r="H97" s="17">
        <v>52</v>
      </c>
      <c r="I97" s="17" t="str">
        <f>IFERROR(VLOOKUP(C97,Merchants!$A$2:$D$41,2,FALSE),"Merchant not found")</f>
        <v>Merchant_001</v>
      </c>
      <c r="J97" s="17" t="str">
        <f>IFERROR(VLOOKUP(C97,Merchants!$A$2:$D$41,3,FALSE),"Merchant not found")</f>
        <v>ecommerce</v>
      </c>
      <c r="K97" s="17" t="str">
        <f>IFERROR(VLOOKUP(C97,Merchants!$A$2:$D$41,4,FALSE),"Merchant not found")</f>
        <v>South</v>
      </c>
      <c r="L97" s="19">
        <f>_xlfn.IFNA(HLOOKUP(F97,'MDR Rates'!$C$1:$F$2,2,FALSE),"N/A")</f>
        <v>0</v>
      </c>
      <c r="M97" s="20">
        <f t="shared" si="3"/>
        <v>46028</v>
      </c>
      <c r="N97" s="17">
        <f t="shared" si="5"/>
        <v>149</v>
      </c>
      <c r="O97" s="17">
        <f>GETPIVOTDATA("amount_inr",'Pivot Table'!$A$3,"merchant_name",I97,"Date",M97)</f>
        <v>149</v>
      </c>
      <c r="P97" s="17" t="str">
        <f t="shared" si="4"/>
        <v>Standard</v>
      </c>
    </row>
    <row r="98" spans="1:16">
      <c r="A98" s="17" t="s">
        <v>111</v>
      </c>
      <c r="B98" s="17">
        <v>241</v>
      </c>
      <c r="C98" s="17">
        <v>19</v>
      </c>
      <c r="D98" s="18">
        <v>46037.9430555556</v>
      </c>
      <c r="E98" s="17">
        <v>299</v>
      </c>
      <c r="F98" s="17" t="s">
        <v>12</v>
      </c>
      <c r="G98" s="17" t="s">
        <v>10</v>
      </c>
      <c r="H98" s="17">
        <v>4</v>
      </c>
      <c r="I98" s="17" t="str">
        <f>IFERROR(VLOOKUP(C98,Merchants!$A$2:$D$41,2,FALSE),"Merchant not found")</f>
        <v>Merchant_019</v>
      </c>
      <c r="J98" s="17" t="str">
        <f>IFERROR(VLOOKUP(C98,Merchants!$A$2:$D$41,3,FALSE),"Merchant not found")</f>
        <v>grocery</v>
      </c>
      <c r="K98" s="17" t="str">
        <f>IFERROR(VLOOKUP(C98,Merchants!$A$2:$D$41,4,FALSE),"Merchant not found")</f>
        <v>North</v>
      </c>
      <c r="L98" s="19">
        <f>_xlfn.IFNA(HLOOKUP(F98,'MDR Rates'!$C$1:$F$2,2,FALSE),"N/A")</f>
        <v>0</v>
      </c>
      <c r="M98" s="20">
        <f t="shared" si="3"/>
        <v>46037</v>
      </c>
      <c r="N98" s="17">
        <f t="shared" si="5"/>
        <v>398</v>
      </c>
      <c r="O98" s="17">
        <f>GETPIVOTDATA("amount_inr",'Pivot Table'!$A$3,"merchant_name",I98,"Date",M98)</f>
        <v>398</v>
      </c>
      <c r="P98" s="17" t="str">
        <f t="shared" si="4"/>
        <v>Standard</v>
      </c>
    </row>
    <row r="99" spans="1:16">
      <c r="A99" s="17" t="s">
        <v>112</v>
      </c>
      <c r="B99" s="17">
        <v>145</v>
      </c>
      <c r="C99" s="17">
        <v>30</v>
      </c>
      <c r="D99" s="18">
        <v>46030.40625</v>
      </c>
      <c r="E99" s="17">
        <v>799</v>
      </c>
      <c r="F99" s="17" t="s">
        <v>12</v>
      </c>
      <c r="G99" s="17" t="s">
        <v>10</v>
      </c>
      <c r="H99" s="17">
        <v>9</v>
      </c>
      <c r="I99" s="17" t="str">
        <f>IFERROR(VLOOKUP(C99,Merchants!$A$2:$D$41,2,FALSE),"Merchant not found")</f>
        <v>Merchant_030</v>
      </c>
      <c r="J99" s="17" t="str">
        <f>IFERROR(VLOOKUP(C99,Merchants!$A$2:$D$41,3,FALSE),"Merchant not found")</f>
        <v>travel</v>
      </c>
      <c r="K99" s="17" t="str">
        <f>IFERROR(VLOOKUP(C99,Merchants!$A$2:$D$41,4,FALSE),"Merchant not found")</f>
        <v>West</v>
      </c>
      <c r="L99" s="19">
        <f>_xlfn.IFNA(HLOOKUP(F99,'MDR Rates'!$C$1:$F$2,2,FALSE),"N/A")</f>
        <v>0</v>
      </c>
      <c r="M99" s="20">
        <f t="shared" si="3"/>
        <v>46030</v>
      </c>
      <c r="N99" s="17">
        <f t="shared" si="5"/>
        <v>1197</v>
      </c>
      <c r="O99" s="17">
        <f>GETPIVOTDATA("amount_inr",'Pivot Table'!$A$3,"merchant_name",I99,"Date",M99)</f>
        <v>1197</v>
      </c>
      <c r="P99" s="17" t="str">
        <f t="shared" si="4"/>
        <v>Standard</v>
      </c>
    </row>
    <row r="100" spans="1:16">
      <c r="A100" s="17" t="s">
        <v>113</v>
      </c>
      <c r="B100" s="17">
        <v>136</v>
      </c>
      <c r="C100" s="17">
        <v>38</v>
      </c>
      <c r="D100" s="18">
        <v>46044.3326388889</v>
      </c>
      <c r="E100" s="17">
        <v>299</v>
      </c>
      <c r="F100" s="17" t="s">
        <v>24</v>
      </c>
      <c r="G100" s="17" t="s">
        <v>10</v>
      </c>
      <c r="H100" s="17">
        <v>84</v>
      </c>
      <c r="I100" s="17" t="str">
        <f>IFERROR(VLOOKUP(C100,Merchants!$A$2:$D$41,2,FALSE),"Merchant not found")</f>
        <v>Merchant_038</v>
      </c>
      <c r="J100" s="17" t="str">
        <f>IFERROR(VLOOKUP(C100,Merchants!$A$2:$D$41,3,FALSE),"Merchant not found")</f>
        <v>grocery</v>
      </c>
      <c r="K100" s="17" t="str">
        <f>IFERROR(VLOOKUP(C100,Merchants!$A$2:$D$41,4,FALSE),"Merchant not found")</f>
        <v>East</v>
      </c>
      <c r="L100" s="19">
        <f>_xlfn.IFNA(HLOOKUP(F100,'MDR Rates'!$C$1:$F$2,2,FALSE),"N/A")</f>
        <v>0.02</v>
      </c>
      <c r="M100" s="20">
        <f t="shared" si="3"/>
        <v>46044</v>
      </c>
      <c r="N100" s="17">
        <f t="shared" si="5"/>
        <v>299</v>
      </c>
      <c r="O100" s="17">
        <f>GETPIVOTDATA("amount_inr",'Pivot Table'!$A$3,"merchant_name",I100,"Date",M100)</f>
        <v>299</v>
      </c>
      <c r="P100" s="17" t="str">
        <f t="shared" si="4"/>
        <v>Standard</v>
      </c>
    </row>
    <row r="101" spans="1:16">
      <c r="A101" s="17" t="s">
        <v>114</v>
      </c>
      <c r="B101" s="17">
        <v>59</v>
      </c>
      <c r="C101" s="17">
        <v>35</v>
      </c>
      <c r="D101" s="18">
        <v>46048.26875</v>
      </c>
      <c r="E101" s="17">
        <v>499</v>
      </c>
      <c r="F101" s="17" t="s">
        <v>12</v>
      </c>
      <c r="G101" s="17" t="s">
        <v>10</v>
      </c>
      <c r="H101" s="17">
        <v>28</v>
      </c>
      <c r="I101" s="17" t="str">
        <f>IFERROR(VLOOKUP(C101,Merchants!$A$2:$D$41,2,FALSE),"Merchant not found")</f>
        <v>Merchant_035</v>
      </c>
      <c r="J101" s="17" t="str">
        <f>IFERROR(VLOOKUP(C101,Merchants!$A$2:$D$41,3,FALSE),"Merchant not found")</f>
        <v>recharge</v>
      </c>
      <c r="K101" s="17" t="str">
        <f>IFERROR(VLOOKUP(C101,Merchants!$A$2:$D$41,4,FALSE),"Merchant not found")</f>
        <v>East</v>
      </c>
      <c r="L101" s="19">
        <f>_xlfn.IFNA(HLOOKUP(F101,'MDR Rates'!$C$1:$F$2,2,FALSE),"N/A")</f>
        <v>0</v>
      </c>
      <c r="M101" s="20">
        <f t="shared" si="3"/>
        <v>46048</v>
      </c>
      <c r="N101" s="17">
        <f t="shared" si="5"/>
        <v>499</v>
      </c>
      <c r="O101" s="17">
        <f>GETPIVOTDATA("amount_inr",'Pivot Table'!$A$3,"merchant_name",I101,"Date",M101)</f>
        <v>499</v>
      </c>
      <c r="P101" s="17" t="str">
        <f t="shared" si="4"/>
        <v>Standard</v>
      </c>
    </row>
    <row r="102" spans="1:16">
      <c r="A102" s="17" t="s">
        <v>115</v>
      </c>
      <c r="B102" s="17">
        <v>137</v>
      </c>
      <c r="C102" s="17">
        <v>10</v>
      </c>
      <c r="D102" s="18">
        <v>46043.2069444444</v>
      </c>
      <c r="E102" s="17">
        <v>299</v>
      </c>
      <c r="F102" s="17" t="s">
        <v>12</v>
      </c>
      <c r="G102" s="17" t="s">
        <v>10</v>
      </c>
      <c r="H102" s="17">
        <v>9</v>
      </c>
      <c r="I102" s="17" t="str">
        <f>IFERROR(VLOOKUP(C102,Merchants!$A$2:$D$41,2,FALSE),"Merchant not found")</f>
        <v>Merchant_010</v>
      </c>
      <c r="J102" s="17" t="str">
        <f>IFERROR(VLOOKUP(C102,Merchants!$A$2:$D$41,3,FALSE),"Merchant not found")</f>
        <v>grocery</v>
      </c>
      <c r="K102" s="17" t="str">
        <f>IFERROR(VLOOKUP(C102,Merchants!$A$2:$D$41,4,FALSE),"Merchant not found")</f>
        <v>West</v>
      </c>
      <c r="L102" s="19">
        <f>_xlfn.IFNA(HLOOKUP(F102,'MDR Rates'!$C$1:$F$2,2,FALSE),"N/A")</f>
        <v>0</v>
      </c>
      <c r="M102" s="20">
        <f t="shared" si="3"/>
        <v>46043</v>
      </c>
      <c r="N102" s="17">
        <f t="shared" si="5"/>
        <v>398</v>
      </c>
      <c r="O102" s="17">
        <f>GETPIVOTDATA("amount_inr",'Pivot Table'!$A$3,"merchant_name",I102,"Date",M102)</f>
        <v>398</v>
      </c>
      <c r="P102" s="17" t="str">
        <f t="shared" si="4"/>
        <v>Standard</v>
      </c>
    </row>
    <row r="103" spans="1:16">
      <c r="A103" s="17" t="s">
        <v>116</v>
      </c>
      <c r="B103" s="17">
        <v>158</v>
      </c>
      <c r="C103" s="17">
        <v>39</v>
      </c>
      <c r="D103" s="18">
        <v>46024.2430555556</v>
      </c>
      <c r="E103" s="17">
        <v>499</v>
      </c>
      <c r="F103" s="17" t="s">
        <v>15</v>
      </c>
      <c r="G103" s="17" t="s">
        <v>10</v>
      </c>
      <c r="H103" s="17">
        <v>95</v>
      </c>
      <c r="I103" s="17" t="str">
        <f>IFERROR(VLOOKUP(C103,Merchants!$A$2:$D$41,2,FALSE),"Merchant not found")</f>
        <v>Merchant_039</v>
      </c>
      <c r="J103" s="17" t="str">
        <f>IFERROR(VLOOKUP(C103,Merchants!$A$2:$D$41,3,FALSE),"Merchant not found")</f>
        <v>entertainment</v>
      </c>
      <c r="K103" s="17" t="str">
        <f>IFERROR(VLOOKUP(C103,Merchants!$A$2:$D$41,4,FALSE),"Merchant not found")</f>
        <v>North</v>
      </c>
      <c r="L103" s="19">
        <f>_xlfn.IFNA(HLOOKUP(F103,'MDR Rates'!$C$1:$F$2,2,FALSE),"N/A")</f>
        <v>0.015</v>
      </c>
      <c r="M103" s="20">
        <f t="shared" si="3"/>
        <v>46024</v>
      </c>
      <c r="N103" s="17">
        <f t="shared" si="5"/>
        <v>499</v>
      </c>
      <c r="O103" s="17">
        <f>GETPIVOTDATA("amount_inr",'Pivot Table'!$A$3,"merchant_name",I103,"Date",M103)</f>
        <v>499</v>
      </c>
      <c r="P103" s="17" t="str">
        <f t="shared" si="4"/>
        <v>Standard</v>
      </c>
    </row>
    <row r="104" spans="1:16">
      <c r="A104" s="17" t="s">
        <v>117</v>
      </c>
      <c r="B104" s="17">
        <v>148</v>
      </c>
      <c r="C104" s="17">
        <v>29</v>
      </c>
      <c r="D104" s="18">
        <v>46049.7902777778</v>
      </c>
      <c r="E104" s="17">
        <v>99</v>
      </c>
      <c r="F104" s="17" t="s">
        <v>24</v>
      </c>
      <c r="G104" s="17" t="s">
        <v>10</v>
      </c>
      <c r="H104" s="17">
        <v>15</v>
      </c>
      <c r="I104" s="17" t="str">
        <f>IFERROR(VLOOKUP(C104,Merchants!$A$2:$D$41,2,FALSE),"Merchant not found")</f>
        <v>Merchant_029</v>
      </c>
      <c r="J104" s="17" t="str">
        <f>IFERROR(VLOOKUP(C104,Merchants!$A$2:$D$41,3,FALSE),"Merchant not found")</f>
        <v>ecommerce</v>
      </c>
      <c r="K104" s="17" t="str">
        <f>IFERROR(VLOOKUP(C104,Merchants!$A$2:$D$41,4,FALSE),"Merchant not found")</f>
        <v>North</v>
      </c>
      <c r="L104" s="19">
        <f>_xlfn.IFNA(HLOOKUP(F104,'MDR Rates'!$C$1:$F$2,2,FALSE),"N/A")</f>
        <v>0.02</v>
      </c>
      <c r="M104" s="20">
        <f t="shared" si="3"/>
        <v>46049</v>
      </c>
      <c r="N104" s="17">
        <f t="shared" si="5"/>
        <v>898</v>
      </c>
      <c r="O104" s="17">
        <f>GETPIVOTDATA("amount_inr",'Pivot Table'!$A$3,"merchant_name",I104,"Date",M104)</f>
        <v>898</v>
      </c>
      <c r="P104" s="17" t="str">
        <f t="shared" si="4"/>
        <v>Standard</v>
      </c>
    </row>
    <row r="105" spans="1:16">
      <c r="A105" s="17" t="s">
        <v>118</v>
      </c>
      <c r="B105" s="17">
        <v>207</v>
      </c>
      <c r="C105" s="17">
        <v>18</v>
      </c>
      <c r="D105" s="18">
        <v>46037.9298611111</v>
      </c>
      <c r="E105" s="17">
        <v>149</v>
      </c>
      <c r="F105" s="17" t="s">
        <v>12</v>
      </c>
      <c r="G105" s="17" t="s">
        <v>10</v>
      </c>
      <c r="H105" s="17">
        <v>64</v>
      </c>
      <c r="I105" s="17" t="str">
        <f>IFERROR(VLOOKUP(C105,Merchants!$A$2:$D$41,2,FALSE),"Merchant not found")</f>
        <v>Merchant_018</v>
      </c>
      <c r="J105" s="17" t="str">
        <f>IFERROR(VLOOKUP(C105,Merchants!$A$2:$D$41,3,FALSE),"Merchant not found")</f>
        <v>grocery</v>
      </c>
      <c r="K105" s="17" t="str">
        <f>IFERROR(VLOOKUP(C105,Merchants!$A$2:$D$41,4,FALSE),"Merchant not found")</f>
        <v>West</v>
      </c>
      <c r="L105" s="19">
        <f>_xlfn.IFNA(HLOOKUP(F105,'MDR Rates'!$C$1:$F$2,2,FALSE),"N/A")</f>
        <v>0</v>
      </c>
      <c r="M105" s="20">
        <f t="shared" si="3"/>
        <v>46037</v>
      </c>
      <c r="N105" s="17">
        <f t="shared" si="5"/>
        <v>149</v>
      </c>
      <c r="O105" s="17">
        <f>GETPIVOTDATA("amount_inr",'Pivot Table'!$A$3,"merchant_name",I105,"Date",M105)</f>
        <v>149</v>
      </c>
      <c r="P105" s="17" t="str">
        <f t="shared" si="4"/>
        <v>Standard</v>
      </c>
    </row>
    <row r="106" spans="1:16">
      <c r="A106" s="17" t="s">
        <v>119</v>
      </c>
      <c r="B106" s="17">
        <v>42</v>
      </c>
      <c r="C106" s="17">
        <v>39</v>
      </c>
      <c r="D106" s="18">
        <v>46040.6444444444</v>
      </c>
      <c r="E106" s="17">
        <v>2999</v>
      </c>
      <c r="F106" s="17" t="s">
        <v>24</v>
      </c>
      <c r="G106" s="17" t="s">
        <v>10</v>
      </c>
      <c r="H106" s="17">
        <v>5</v>
      </c>
      <c r="I106" s="17" t="str">
        <f>IFERROR(VLOOKUP(C106,Merchants!$A$2:$D$41,2,FALSE),"Merchant not found")</f>
        <v>Merchant_039</v>
      </c>
      <c r="J106" s="17" t="str">
        <f>IFERROR(VLOOKUP(C106,Merchants!$A$2:$D$41,3,FALSE),"Merchant not found")</f>
        <v>entertainment</v>
      </c>
      <c r="K106" s="17" t="str">
        <f>IFERROR(VLOOKUP(C106,Merchants!$A$2:$D$41,4,FALSE),"Merchant not found")</f>
        <v>North</v>
      </c>
      <c r="L106" s="19">
        <f>_xlfn.IFNA(HLOOKUP(F106,'MDR Rates'!$C$1:$F$2,2,FALSE),"N/A")</f>
        <v>0.02</v>
      </c>
      <c r="M106" s="20">
        <f t="shared" si="3"/>
        <v>46040</v>
      </c>
      <c r="N106" s="17">
        <f t="shared" si="5"/>
        <v>2999</v>
      </c>
      <c r="O106" s="17">
        <f>GETPIVOTDATA("amount_inr",'Pivot Table'!$A$3,"merchant_name",I106,"Date",M106)</f>
        <v>2999</v>
      </c>
      <c r="P106" s="17" t="str">
        <f t="shared" si="4"/>
        <v>Standard</v>
      </c>
    </row>
    <row r="107" spans="1:16">
      <c r="A107" s="17" t="s">
        <v>120</v>
      </c>
      <c r="B107" s="17">
        <v>166</v>
      </c>
      <c r="C107" s="17">
        <v>39</v>
      </c>
      <c r="D107" s="18">
        <v>46051.5743055556</v>
      </c>
      <c r="E107" s="17">
        <v>149</v>
      </c>
      <c r="F107" s="17" t="s">
        <v>12</v>
      </c>
      <c r="G107" s="17" t="s">
        <v>10</v>
      </c>
      <c r="H107" s="17">
        <v>32</v>
      </c>
      <c r="I107" s="17" t="str">
        <f>IFERROR(VLOOKUP(C107,Merchants!$A$2:$D$41,2,FALSE),"Merchant not found")</f>
        <v>Merchant_039</v>
      </c>
      <c r="J107" s="17" t="str">
        <f>IFERROR(VLOOKUP(C107,Merchants!$A$2:$D$41,3,FALSE),"Merchant not found")</f>
        <v>entertainment</v>
      </c>
      <c r="K107" s="17" t="str">
        <f>IFERROR(VLOOKUP(C107,Merchants!$A$2:$D$41,4,FALSE),"Merchant not found")</f>
        <v>North</v>
      </c>
      <c r="L107" s="19">
        <f>_xlfn.IFNA(HLOOKUP(F107,'MDR Rates'!$C$1:$F$2,2,FALSE),"N/A")</f>
        <v>0</v>
      </c>
      <c r="M107" s="20">
        <f t="shared" si="3"/>
        <v>46051</v>
      </c>
      <c r="N107" s="17">
        <f t="shared" si="5"/>
        <v>149</v>
      </c>
      <c r="O107" s="17">
        <f>GETPIVOTDATA("amount_inr",'Pivot Table'!$A$3,"merchant_name",I107,"Date",M107)</f>
        <v>149</v>
      </c>
      <c r="P107" s="17" t="str">
        <f t="shared" si="4"/>
        <v>Standard</v>
      </c>
    </row>
    <row r="108" spans="1:16">
      <c r="A108" s="17" t="s">
        <v>121</v>
      </c>
      <c r="B108" s="17">
        <v>346</v>
      </c>
      <c r="C108" s="17">
        <v>37</v>
      </c>
      <c r="D108" s="18">
        <v>46023.0930555556</v>
      </c>
      <c r="E108" s="17">
        <v>99</v>
      </c>
      <c r="F108" s="17" t="s">
        <v>12</v>
      </c>
      <c r="G108" s="17" t="s">
        <v>10</v>
      </c>
      <c r="H108" s="17">
        <v>75</v>
      </c>
      <c r="I108" s="17" t="str">
        <f>IFERROR(VLOOKUP(C108,Merchants!$A$2:$D$41,2,FALSE),"Merchant not found")</f>
        <v>Merchant_037</v>
      </c>
      <c r="J108" s="17" t="str">
        <f>IFERROR(VLOOKUP(C108,Merchants!$A$2:$D$41,3,FALSE),"Merchant not found")</f>
        <v>entertainment</v>
      </c>
      <c r="K108" s="17" t="str">
        <f>IFERROR(VLOOKUP(C108,Merchants!$A$2:$D$41,4,FALSE),"Merchant not found")</f>
        <v>South</v>
      </c>
      <c r="L108" s="19">
        <f>_xlfn.IFNA(HLOOKUP(F108,'MDR Rates'!$C$1:$F$2,2,FALSE),"N/A")</f>
        <v>0</v>
      </c>
      <c r="M108" s="20">
        <f t="shared" si="3"/>
        <v>46023</v>
      </c>
      <c r="N108" s="17">
        <f t="shared" si="5"/>
        <v>598</v>
      </c>
      <c r="O108" s="17">
        <f>GETPIVOTDATA("amount_inr",'Pivot Table'!$A$3,"merchant_name",I108,"Date",M108)</f>
        <v>598</v>
      </c>
      <c r="P108" s="17" t="str">
        <f t="shared" si="4"/>
        <v>Standard</v>
      </c>
    </row>
    <row r="109" spans="1:16">
      <c r="A109" s="17" t="s">
        <v>122</v>
      </c>
      <c r="B109" s="17">
        <v>138</v>
      </c>
      <c r="C109" s="17">
        <v>37</v>
      </c>
      <c r="D109" s="18">
        <v>46023.9111111111</v>
      </c>
      <c r="E109" s="17">
        <v>499</v>
      </c>
      <c r="F109" s="17" t="s">
        <v>12</v>
      </c>
      <c r="G109" s="17" t="s">
        <v>10</v>
      </c>
      <c r="H109" s="17">
        <v>5</v>
      </c>
      <c r="I109" s="17" t="str">
        <f>IFERROR(VLOOKUP(C109,Merchants!$A$2:$D$41,2,FALSE),"Merchant not found")</f>
        <v>Merchant_037</v>
      </c>
      <c r="J109" s="17" t="str">
        <f>IFERROR(VLOOKUP(C109,Merchants!$A$2:$D$41,3,FALSE),"Merchant not found")</f>
        <v>entertainment</v>
      </c>
      <c r="K109" s="17" t="str">
        <f>IFERROR(VLOOKUP(C109,Merchants!$A$2:$D$41,4,FALSE),"Merchant not found")</f>
        <v>South</v>
      </c>
      <c r="L109" s="19">
        <f>_xlfn.IFNA(HLOOKUP(F109,'MDR Rates'!$C$1:$F$2,2,FALSE),"N/A")</f>
        <v>0</v>
      </c>
      <c r="M109" s="20">
        <f t="shared" si="3"/>
        <v>46023</v>
      </c>
      <c r="N109" s="17">
        <f t="shared" si="5"/>
        <v>598</v>
      </c>
      <c r="O109" s="17">
        <f>GETPIVOTDATA("amount_inr",'Pivot Table'!$A$3,"merchant_name",I109,"Date",M109)</f>
        <v>598</v>
      </c>
      <c r="P109" s="17" t="str">
        <f t="shared" si="4"/>
        <v>Standard</v>
      </c>
    </row>
    <row r="110" spans="1:16">
      <c r="A110" s="17" t="s">
        <v>123</v>
      </c>
      <c r="B110" s="17">
        <v>266</v>
      </c>
      <c r="C110" s="17">
        <v>29</v>
      </c>
      <c r="D110" s="18">
        <v>46047.2291666667</v>
      </c>
      <c r="E110" s="17">
        <v>499</v>
      </c>
      <c r="F110" s="17" t="s">
        <v>9</v>
      </c>
      <c r="G110" s="17" t="s">
        <v>25</v>
      </c>
      <c r="H110" s="17">
        <v>35</v>
      </c>
      <c r="I110" s="17" t="str">
        <f>IFERROR(VLOOKUP(C110,Merchants!$A$2:$D$41,2,FALSE),"Merchant not found")</f>
        <v>Merchant_029</v>
      </c>
      <c r="J110" s="17" t="str">
        <f>IFERROR(VLOOKUP(C110,Merchants!$A$2:$D$41,3,FALSE),"Merchant not found")</f>
        <v>ecommerce</v>
      </c>
      <c r="K110" s="17" t="str">
        <f>IFERROR(VLOOKUP(C110,Merchants!$A$2:$D$41,4,FALSE),"Merchant not found")</f>
        <v>North</v>
      </c>
      <c r="L110" s="19">
        <f>_xlfn.IFNA(HLOOKUP(F110,'MDR Rates'!$C$1:$F$2,2,FALSE),"N/A")</f>
        <v>0.01</v>
      </c>
      <c r="M110" s="20">
        <f t="shared" si="3"/>
        <v>46047</v>
      </c>
      <c r="N110" s="17">
        <f t="shared" si="5"/>
        <v>3896</v>
      </c>
      <c r="O110" s="17">
        <f>GETPIVOTDATA("amount_inr",'Pivot Table'!$A$3,"merchant_name",I110,"Date",M110)</f>
        <v>3896</v>
      </c>
      <c r="P110" s="17" t="str">
        <f t="shared" si="4"/>
        <v>Standard</v>
      </c>
    </row>
    <row r="111" spans="1:16">
      <c r="A111" s="17" t="s">
        <v>124</v>
      </c>
      <c r="B111" s="17">
        <v>326</v>
      </c>
      <c r="C111" s="17">
        <v>32</v>
      </c>
      <c r="D111" s="18">
        <v>46028.76875</v>
      </c>
      <c r="E111" s="17">
        <v>149</v>
      </c>
      <c r="F111" s="17" t="s">
        <v>12</v>
      </c>
      <c r="G111" s="17" t="s">
        <v>10</v>
      </c>
      <c r="H111" s="17">
        <v>11</v>
      </c>
      <c r="I111" s="17" t="str">
        <f>IFERROR(VLOOKUP(C111,Merchants!$A$2:$D$41,2,FALSE),"Merchant not found")</f>
        <v>Merchant_032</v>
      </c>
      <c r="J111" s="17" t="str">
        <f>IFERROR(VLOOKUP(C111,Merchants!$A$2:$D$41,3,FALSE),"Merchant not found")</f>
        <v>food_delivery</v>
      </c>
      <c r="K111" s="17" t="str">
        <f>IFERROR(VLOOKUP(C111,Merchants!$A$2:$D$41,4,FALSE),"Merchant not found")</f>
        <v>West</v>
      </c>
      <c r="L111" s="19">
        <f>_xlfn.IFNA(HLOOKUP(F111,'MDR Rates'!$C$1:$F$2,2,FALSE),"N/A")</f>
        <v>0</v>
      </c>
      <c r="M111" s="20">
        <f t="shared" si="3"/>
        <v>46028</v>
      </c>
      <c r="N111" s="17">
        <f t="shared" si="5"/>
        <v>149</v>
      </c>
      <c r="O111" s="17">
        <f>GETPIVOTDATA("amount_inr",'Pivot Table'!$A$3,"merchant_name",I111,"Date",M111)</f>
        <v>149</v>
      </c>
      <c r="P111" s="17" t="str">
        <f t="shared" si="4"/>
        <v>Standard</v>
      </c>
    </row>
    <row r="112" spans="1:16">
      <c r="A112" s="17" t="s">
        <v>125</v>
      </c>
      <c r="B112" s="17">
        <v>171</v>
      </c>
      <c r="C112" s="17">
        <v>21</v>
      </c>
      <c r="D112" s="18">
        <v>46038.4763888889</v>
      </c>
      <c r="E112" s="17">
        <v>799</v>
      </c>
      <c r="F112" s="17" t="s">
        <v>12</v>
      </c>
      <c r="G112" s="17" t="s">
        <v>10</v>
      </c>
      <c r="H112" s="17">
        <v>85</v>
      </c>
      <c r="I112" s="17" t="str">
        <f>IFERROR(VLOOKUP(C112,Merchants!$A$2:$D$41,2,FALSE),"Merchant not found")</f>
        <v>Merchant_021</v>
      </c>
      <c r="J112" s="17" t="str">
        <f>IFERROR(VLOOKUP(C112,Merchants!$A$2:$D$41,3,FALSE),"Merchant not found")</f>
        <v>food_delivery</v>
      </c>
      <c r="K112" s="17" t="str">
        <f>IFERROR(VLOOKUP(C112,Merchants!$A$2:$D$41,4,FALSE),"Merchant not found")</f>
        <v>East</v>
      </c>
      <c r="L112" s="19">
        <f>_xlfn.IFNA(HLOOKUP(F112,'MDR Rates'!$C$1:$F$2,2,FALSE),"N/A")</f>
        <v>0</v>
      </c>
      <c r="M112" s="20">
        <f t="shared" si="3"/>
        <v>46038</v>
      </c>
      <c r="N112" s="17">
        <f t="shared" si="5"/>
        <v>799</v>
      </c>
      <c r="O112" s="17">
        <f>GETPIVOTDATA("amount_inr",'Pivot Table'!$A$3,"merchant_name",I112,"Date",M112)</f>
        <v>799</v>
      </c>
      <c r="P112" s="17" t="str">
        <f t="shared" si="4"/>
        <v>Standard</v>
      </c>
    </row>
    <row r="113" spans="1:16">
      <c r="A113" s="17" t="s">
        <v>126</v>
      </c>
      <c r="B113" s="17">
        <v>211</v>
      </c>
      <c r="C113" s="17">
        <v>32</v>
      </c>
      <c r="D113" s="18">
        <v>46026.2229166667</v>
      </c>
      <c r="E113" s="17">
        <v>49</v>
      </c>
      <c r="F113" s="17" t="s">
        <v>12</v>
      </c>
      <c r="G113" s="17" t="s">
        <v>10</v>
      </c>
      <c r="H113" s="17">
        <v>36</v>
      </c>
      <c r="I113" s="17" t="str">
        <f>IFERROR(VLOOKUP(C113,Merchants!$A$2:$D$41,2,FALSE),"Merchant not found")</f>
        <v>Merchant_032</v>
      </c>
      <c r="J113" s="17" t="str">
        <f>IFERROR(VLOOKUP(C113,Merchants!$A$2:$D$41,3,FALSE),"Merchant not found")</f>
        <v>food_delivery</v>
      </c>
      <c r="K113" s="17" t="str">
        <f>IFERROR(VLOOKUP(C113,Merchants!$A$2:$D$41,4,FALSE),"Merchant not found")</f>
        <v>West</v>
      </c>
      <c r="L113" s="19">
        <f>_xlfn.IFNA(HLOOKUP(F113,'MDR Rates'!$C$1:$F$2,2,FALSE),"N/A")</f>
        <v>0</v>
      </c>
      <c r="M113" s="20">
        <f t="shared" si="3"/>
        <v>46026</v>
      </c>
      <c r="N113" s="17">
        <f t="shared" si="5"/>
        <v>49</v>
      </c>
      <c r="O113" s="17">
        <f>GETPIVOTDATA("amount_inr",'Pivot Table'!$A$3,"merchant_name",I113,"Date",M113)</f>
        <v>49</v>
      </c>
      <c r="P113" s="17" t="str">
        <f t="shared" si="4"/>
        <v>Standard</v>
      </c>
    </row>
    <row r="114" spans="1:16">
      <c r="A114" s="17" t="s">
        <v>127</v>
      </c>
      <c r="B114" s="17">
        <v>282</v>
      </c>
      <c r="C114" s="17">
        <v>3</v>
      </c>
      <c r="D114" s="18">
        <v>46044.5361111111</v>
      </c>
      <c r="E114" s="17">
        <v>499</v>
      </c>
      <c r="F114" s="17" t="s">
        <v>12</v>
      </c>
      <c r="G114" s="17" t="s">
        <v>10</v>
      </c>
      <c r="H114" s="17">
        <v>58</v>
      </c>
      <c r="I114" s="17" t="str">
        <f>IFERROR(VLOOKUP(C114,Merchants!$A$2:$D$41,2,FALSE),"Merchant not found")</f>
        <v>Merchant_003</v>
      </c>
      <c r="J114" s="17" t="str">
        <f>IFERROR(VLOOKUP(C114,Merchants!$A$2:$D$41,3,FALSE),"Merchant not found")</f>
        <v>grocery</v>
      </c>
      <c r="K114" s="17" t="str">
        <f>IFERROR(VLOOKUP(C114,Merchants!$A$2:$D$41,4,FALSE),"Merchant not found")</f>
        <v>East</v>
      </c>
      <c r="L114" s="19">
        <f>_xlfn.IFNA(HLOOKUP(F114,'MDR Rates'!$C$1:$F$2,2,FALSE),"N/A")</f>
        <v>0</v>
      </c>
      <c r="M114" s="20">
        <f t="shared" si="3"/>
        <v>46044</v>
      </c>
      <c r="N114" s="17">
        <f t="shared" si="5"/>
        <v>499</v>
      </c>
      <c r="O114" s="17">
        <f>GETPIVOTDATA("amount_inr",'Pivot Table'!$A$3,"merchant_name",I114,"Date",M114)</f>
        <v>499</v>
      </c>
      <c r="P114" s="17" t="str">
        <f t="shared" si="4"/>
        <v>Standard</v>
      </c>
    </row>
    <row r="115" spans="1:16">
      <c r="A115" s="17" t="s">
        <v>128</v>
      </c>
      <c r="B115" s="17">
        <v>166</v>
      </c>
      <c r="C115" s="17">
        <v>8</v>
      </c>
      <c r="D115" s="18">
        <v>46025.4277777778</v>
      </c>
      <c r="E115" s="17">
        <v>299</v>
      </c>
      <c r="F115" s="17" t="s">
        <v>12</v>
      </c>
      <c r="G115" s="17" t="s">
        <v>10</v>
      </c>
      <c r="H115" s="17">
        <v>98</v>
      </c>
      <c r="I115" s="17" t="str">
        <f>IFERROR(VLOOKUP(C115,Merchants!$A$2:$D$41,2,FALSE),"Merchant not found")</f>
        <v>Merchant_008</v>
      </c>
      <c r="J115" s="17" t="str">
        <f>IFERROR(VLOOKUP(C115,Merchants!$A$2:$D$41,3,FALSE),"Merchant not found")</f>
        <v>food_delivery</v>
      </c>
      <c r="K115" s="17" t="str">
        <f>IFERROR(VLOOKUP(C115,Merchants!$A$2:$D$41,4,FALSE),"Merchant not found")</f>
        <v>North</v>
      </c>
      <c r="L115" s="19">
        <f>_xlfn.IFNA(HLOOKUP(F115,'MDR Rates'!$C$1:$F$2,2,FALSE),"N/A")</f>
        <v>0</v>
      </c>
      <c r="M115" s="20">
        <f t="shared" si="3"/>
        <v>46025</v>
      </c>
      <c r="N115" s="17">
        <f t="shared" si="5"/>
        <v>299</v>
      </c>
      <c r="O115" s="17">
        <f>GETPIVOTDATA("amount_inr",'Pivot Table'!$A$3,"merchant_name",I115,"Date",M115)</f>
        <v>299</v>
      </c>
      <c r="P115" s="17" t="str">
        <f t="shared" si="4"/>
        <v>Standard</v>
      </c>
    </row>
    <row r="116" spans="1:16">
      <c r="A116" s="17" t="s">
        <v>129</v>
      </c>
      <c r="B116" s="17">
        <v>1</v>
      </c>
      <c r="C116" s="17">
        <v>35</v>
      </c>
      <c r="D116" s="18">
        <v>46035.7027777778</v>
      </c>
      <c r="E116" s="17">
        <v>149</v>
      </c>
      <c r="F116" s="17" t="s">
        <v>12</v>
      </c>
      <c r="G116" s="17" t="s">
        <v>10</v>
      </c>
      <c r="H116" s="17">
        <v>59</v>
      </c>
      <c r="I116" s="17" t="str">
        <f>IFERROR(VLOOKUP(C116,Merchants!$A$2:$D$41,2,FALSE),"Merchant not found")</f>
        <v>Merchant_035</v>
      </c>
      <c r="J116" s="17" t="str">
        <f>IFERROR(VLOOKUP(C116,Merchants!$A$2:$D$41,3,FALSE),"Merchant not found")</f>
        <v>recharge</v>
      </c>
      <c r="K116" s="17" t="str">
        <f>IFERROR(VLOOKUP(C116,Merchants!$A$2:$D$41,4,FALSE),"Merchant not found")</f>
        <v>East</v>
      </c>
      <c r="L116" s="19">
        <f>_xlfn.IFNA(HLOOKUP(F116,'MDR Rates'!$C$1:$F$2,2,FALSE),"N/A")</f>
        <v>0</v>
      </c>
      <c r="M116" s="20">
        <f t="shared" si="3"/>
        <v>46035</v>
      </c>
      <c r="N116" s="17">
        <f t="shared" si="5"/>
        <v>149</v>
      </c>
      <c r="O116" s="17">
        <f>GETPIVOTDATA("amount_inr",'Pivot Table'!$A$3,"merchant_name",I116,"Date",M116)</f>
        <v>149</v>
      </c>
      <c r="P116" s="17" t="str">
        <f t="shared" si="4"/>
        <v>Standard</v>
      </c>
    </row>
    <row r="117" spans="1:16">
      <c r="A117" s="17" t="s">
        <v>130</v>
      </c>
      <c r="B117" s="17">
        <v>266</v>
      </c>
      <c r="C117" s="17">
        <v>24</v>
      </c>
      <c r="D117" s="18">
        <v>46036.05</v>
      </c>
      <c r="E117" s="17">
        <v>499</v>
      </c>
      <c r="F117" s="17" t="s">
        <v>12</v>
      </c>
      <c r="G117" s="17" t="s">
        <v>10</v>
      </c>
      <c r="H117" s="17">
        <v>79</v>
      </c>
      <c r="I117" s="17" t="str">
        <f>IFERROR(VLOOKUP(C117,Merchants!$A$2:$D$41,2,FALSE),"Merchant not found")</f>
        <v>Merchant_024</v>
      </c>
      <c r="J117" s="17" t="str">
        <f>IFERROR(VLOOKUP(C117,Merchants!$A$2:$D$41,3,FALSE),"Merchant not found")</f>
        <v>grocery</v>
      </c>
      <c r="K117" s="17" t="str">
        <f>IFERROR(VLOOKUP(C117,Merchants!$A$2:$D$41,4,FALSE),"Merchant not found")</f>
        <v>North</v>
      </c>
      <c r="L117" s="19">
        <f>_xlfn.IFNA(HLOOKUP(F117,'MDR Rates'!$C$1:$F$2,2,FALSE),"N/A")</f>
        <v>0</v>
      </c>
      <c r="M117" s="20">
        <f t="shared" si="3"/>
        <v>46036</v>
      </c>
      <c r="N117" s="17">
        <f t="shared" si="5"/>
        <v>499</v>
      </c>
      <c r="O117" s="17">
        <f>GETPIVOTDATA("amount_inr",'Pivot Table'!$A$3,"merchant_name",I117,"Date",M117)</f>
        <v>499</v>
      </c>
      <c r="P117" s="17" t="str">
        <f t="shared" si="4"/>
        <v>Standard</v>
      </c>
    </row>
    <row r="118" spans="1:16">
      <c r="A118" s="17" t="s">
        <v>131</v>
      </c>
      <c r="B118" s="17">
        <v>227</v>
      </c>
      <c r="C118" s="17">
        <v>4</v>
      </c>
      <c r="D118" s="18">
        <v>46047.6527777778</v>
      </c>
      <c r="E118" s="17">
        <v>499</v>
      </c>
      <c r="F118" s="17" t="s">
        <v>12</v>
      </c>
      <c r="G118" s="17" t="s">
        <v>10</v>
      </c>
      <c r="H118" s="17">
        <v>26</v>
      </c>
      <c r="I118" s="17" t="str">
        <f>IFERROR(VLOOKUP(C118,Merchants!$A$2:$D$41,2,FALSE),"Merchant not found")</f>
        <v>Merchant_004</v>
      </c>
      <c r="J118" s="17" t="str">
        <f>IFERROR(VLOOKUP(C118,Merchants!$A$2:$D$41,3,FALSE),"Merchant not found")</f>
        <v>ecommerce</v>
      </c>
      <c r="K118" s="17" t="str">
        <f>IFERROR(VLOOKUP(C118,Merchants!$A$2:$D$41,4,FALSE),"Merchant not found")</f>
        <v>East</v>
      </c>
      <c r="L118" s="19">
        <f>_xlfn.IFNA(HLOOKUP(F118,'MDR Rates'!$C$1:$F$2,2,FALSE),"N/A")</f>
        <v>0</v>
      </c>
      <c r="M118" s="20">
        <f t="shared" si="3"/>
        <v>46047</v>
      </c>
      <c r="N118" s="17">
        <f t="shared" si="5"/>
        <v>1998</v>
      </c>
      <c r="O118" s="17">
        <f>GETPIVOTDATA("amount_inr",'Pivot Table'!$A$3,"merchant_name",I118,"Date",M118)</f>
        <v>1998</v>
      </c>
      <c r="P118" s="17" t="str">
        <f t="shared" si="4"/>
        <v>Standard</v>
      </c>
    </row>
    <row r="119" spans="1:16">
      <c r="A119" s="17" t="s">
        <v>132</v>
      </c>
      <c r="B119" s="17">
        <v>148</v>
      </c>
      <c r="C119" s="17">
        <v>29</v>
      </c>
      <c r="D119" s="18">
        <v>46031.7138888889</v>
      </c>
      <c r="E119" s="17">
        <v>499</v>
      </c>
      <c r="F119" s="17" t="s">
        <v>12</v>
      </c>
      <c r="G119" s="17" t="s">
        <v>10</v>
      </c>
      <c r="H119" s="17">
        <v>89</v>
      </c>
      <c r="I119" s="17" t="str">
        <f>IFERROR(VLOOKUP(C119,Merchants!$A$2:$D$41,2,FALSE),"Merchant not found")</f>
        <v>Merchant_029</v>
      </c>
      <c r="J119" s="17" t="str">
        <f>IFERROR(VLOOKUP(C119,Merchants!$A$2:$D$41,3,FALSE),"Merchant not found")</f>
        <v>ecommerce</v>
      </c>
      <c r="K119" s="17" t="str">
        <f>IFERROR(VLOOKUP(C119,Merchants!$A$2:$D$41,4,FALSE),"Merchant not found")</f>
        <v>North</v>
      </c>
      <c r="L119" s="19">
        <f>_xlfn.IFNA(HLOOKUP(F119,'MDR Rates'!$C$1:$F$2,2,FALSE),"N/A")</f>
        <v>0</v>
      </c>
      <c r="M119" s="20">
        <f t="shared" si="3"/>
        <v>46031</v>
      </c>
      <c r="N119" s="17">
        <f t="shared" si="5"/>
        <v>499</v>
      </c>
      <c r="O119" s="17">
        <f>GETPIVOTDATA("amount_inr",'Pivot Table'!$A$3,"merchant_name",I119,"Date",M119)</f>
        <v>499</v>
      </c>
      <c r="P119" s="17" t="str">
        <f t="shared" si="4"/>
        <v>Standard</v>
      </c>
    </row>
    <row r="120" spans="1:16">
      <c r="A120" s="17" t="s">
        <v>133</v>
      </c>
      <c r="B120" s="17">
        <v>323</v>
      </c>
      <c r="C120" s="17">
        <v>39</v>
      </c>
      <c r="D120" s="18">
        <v>46038.1256944444</v>
      </c>
      <c r="E120" s="17">
        <v>499</v>
      </c>
      <c r="F120" s="17" t="s">
        <v>12</v>
      </c>
      <c r="G120" s="17" t="s">
        <v>10</v>
      </c>
      <c r="H120" s="17">
        <v>30</v>
      </c>
      <c r="I120" s="17" t="str">
        <f>IFERROR(VLOOKUP(C120,Merchants!$A$2:$D$41,2,FALSE),"Merchant not found")</f>
        <v>Merchant_039</v>
      </c>
      <c r="J120" s="17" t="str">
        <f>IFERROR(VLOOKUP(C120,Merchants!$A$2:$D$41,3,FALSE),"Merchant not found")</f>
        <v>entertainment</v>
      </c>
      <c r="K120" s="17" t="str">
        <f>IFERROR(VLOOKUP(C120,Merchants!$A$2:$D$41,4,FALSE),"Merchant not found")</f>
        <v>North</v>
      </c>
      <c r="L120" s="19">
        <f>_xlfn.IFNA(HLOOKUP(F120,'MDR Rates'!$C$1:$F$2,2,FALSE),"N/A")</f>
        <v>0</v>
      </c>
      <c r="M120" s="20">
        <f t="shared" si="3"/>
        <v>46038</v>
      </c>
      <c r="N120" s="17">
        <f t="shared" si="5"/>
        <v>499</v>
      </c>
      <c r="O120" s="17">
        <f>GETPIVOTDATA("amount_inr",'Pivot Table'!$A$3,"merchant_name",I120,"Date",M120)</f>
        <v>499</v>
      </c>
      <c r="P120" s="17" t="str">
        <f t="shared" si="4"/>
        <v>Standard</v>
      </c>
    </row>
    <row r="121" spans="1:16">
      <c r="A121" s="17" t="s">
        <v>134</v>
      </c>
      <c r="B121" s="17">
        <v>283</v>
      </c>
      <c r="C121" s="17">
        <v>1</v>
      </c>
      <c r="D121" s="18">
        <v>46045.2215277778</v>
      </c>
      <c r="E121" s="17">
        <v>2999</v>
      </c>
      <c r="F121" s="17" t="s">
        <v>9</v>
      </c>
      <c r="G121" s="17" t="s">
        <v>10</v>
      </c>
      <c r="H121" s="17">
        <v>70</v>
      </c>
      <c r="I121" s="17" t="str">
        <f>IFERROR(VLOOKUP(C121,Merchants!$A$2:$D$41,2,FALSE),"Merchant not found")</f>
        <v>Merchant_001</v>
      </c>
      <c r="J121" s="17" t="str">
        <f>IFERROR(VLOOKUP(C121,Merchants!$A$2:$D$41,3,FALSE),"Merchant not found")</f>
        <v>ecommerce</v>
      </c>
      <c r="K121" s="17" t="str">
        <f>IFERROR(VLOOKUP(C121,Merchants!$A$2:$D$41,4,FALSE),"Merchant not found")</f>
        <v>South</v>
      </c>
      <c r="L121" s="19">
        <f>_xlfn.IFNA(HLOOKUP(F121,'MDR Rates'!$C$1:$F$2,2,FALSE),"N/A")</f>
        <v>0.01</v>
      </c>
      <c r="M121" s="20">
        <f t="shared" si="3"/>
        <v>46045</v>
      </c>
      <c r="N121" s="17">
        <f t="shared" si="5"/>
        <v>3148</v>
      </c>
      <c r="O121" s="17">
        <f>GETPIVOTDATA("amount_inr",'Pivot Table'!$A$3,"merchant_name",I121,"Date",M121)</f>
        <v>3148</v>
      </c>
      <c r="P121" s="17" t="str">
        <f t="shared" si="4"/>
        <v>Standard</v>
      </c>
    </row>
    <row r="122" spans="1:16">
      <c r="A122" s="17" t="s">
        <v>135</v>
      </c>
      <c r="B122" s="17">
        <v>59</v>
      </c>
      <c r="C122" s="17">
        <v>30</v>
      </c>
      <c r="D122" s="18">
        <v>46036.0930555556</v>
      </c>
      <c r="E122" s="17">
        <v>499</v>
      </c>
      <c r="F122" s="17" t="s">
        <v>12</v>
      </c>
      <c r="G122" s="17" t="s">
        <v>10</v>
      </c>
      <c r="H122" s="17">
        <v>15</v>
      </c>
      <c r="I122" s="17" t="str">
        <f>IFERROR(VLOOKUP(C122,Merchants!$A$2:$D$41,2,FALSE),"Merchant not found")</f>
        <v>Merchant_030</v>
      </c>
      <c r="J122" s="17" t="str">
        <f>IFERROR(VLOOKUP(C122,Merchants!$A$2:$D$41,3,FALSE),"Merchant not found")</f>
        <v>travel</v>
      </c>
      <c r="K122" s="17" t="str">
        <f>IFERROR(VLOOKUP(C122,Merchants!$A$2:$D$41,4,FALSE),"Merchant not found")</f>
        <v>West</v>
      </c>
      <c r="L122" s="19">
        <f>_xlfn.IFNA(HLOOKUP(F122,'MDR Rates'!$C$1:$F$2,2,FALSE),"N/A")</f>
        <v>0</v>
      </c>
      <c r="M122" s="20">
        <f t="shared" si="3"/>
        <v>46036</v>
      </c>
      <c r="N122" s="17">
        <f t="shared" si="5"/>
        <v>2497</v>
      </c>
      <c r="O122" s="17">
        <f>GETPIVOTDATA("amount_inr",'Pivot Table'!$A$3,"merchant_name",I122,"Date",M122)</f>
        <v>2497</v>
      </c>
      <c r="P122" s="17" t="str">
        <f t="shared" si="4"/>
        <v>Standard</v>
      </c>
    </row>
    <row r="123" spans="1:16">
      <c r="A123" s="17" t="s">
        <v>136</v>
      </c>
      <c r="B123" s="17">
        <v>150</v>
      </c>
      <c r="C123" s="17">
        <v>33</v>
      </c>
      <c r="D123" s="18">
        <v>46043.1881944444</v>
      </c>
      <c r="E123" s="17">
        <v>2999</v>
      </c>
      <c r="F123" s="17" t="s">
        <v>12</v>
      </c>
      <c r="G123" s="17" t="s">
        <v>10</v>
      </c>
      <c r="H123" s="17">
        <v>90</v>
      </c>
      <c r="I123" s="17" t="str">
        <f>IFERROR(VLOOKUP(C123,Merchants!$A$2:$D$41,2,FALSE),"Merchant not found")</f>
        <v>Merchant_033</v>
      </c>
      <c r="J123" s="17" t="str">
        <f>IFERROR(VLOOKUP(C123,Merchants!$A$2:$D$41,3,FALSE),"Merchant not found")</f>
        <v>bill_payment</v>
      </c>
      <c r="K123" s="17" t="str">
        <f>IFERROR(VLOOKUP(C123,Merchants!$A$2:$D$41,4,FALSE),"Merchant not found")</f>
        <v>East</v>
      </c>
      <c r="L123" s="19">
        <f>_xlfn.IFNA(HLOOKUP(F123,'MDR Rates'!$C$1:$F$2,2,FALSE),"N/A")</f>
        <v>0</v>
      </c>
      <c r="M123" s="20">
        <f t="shared" si="3"/>
        <v>46043</v>
      </c>
      <c r="N123" s="17">
        <f t="shared" si="5"/>
        <v>3298</v>
      </c>
      <c r="O123" s="17">
        <f>GETPIVOTDATA("amount_inr",'Pivot Table'!$A$3,"merchant_name",I123,"Date",M123)</f>
        <v>3298</v>
      </c>
      <c r="P123" s="17" t="str">
        <f t="shared" si="4"/>
        <v>Standard</v>
      </c>
    </row>
    <row r="124" spans="1:16">
      <c r="A124" s="17" t="s">
        <v>137</v>
      </c>
      <c r="B124" s="17">
        <v>248</v>
      </c>
      <c r="C124" s="17">
        <v>31</v>
      </c>
      <c r="D124" s="18">
        <v>46031.5784722222</v>
      </c>
      <c r="E124" s="17">
        <v>1499</v>
      </c>
      <c r="F124" s="17" t="s">
        <v>12</v>
      </c>
      <c r="G124" s="17" t="s">
        <v>25</v>
      </c>
      <c r="H124" s="17">
        <v>31</v>
      </c>
      <c r="I124" s="17" t="str">
        <f>IFERROR(VLOOKUP(C124,Merchants!$A$2:$D$41,2,FALSE),"Merchant not found")</f>
        <v>Merchant_031</v>
      </c>
      <c r="J124" s="17" t="str">
        <f>IFERROR(VLOOKUP(C124,Merchants!$A$2:$D$41,3,FALSE),"Merchant not found")</f>
        <v>bill_payment</v>
      </c>
      <c r="K124" s="17" t="str">
        <f>IFERROR(VLOOKUP(C124,Merchants!$A$2:$D$41,4,FALSE),"Merchant not found")</f>
        <v>East</v>
      </c>
      <c r="L124" s="19">
        <f>_xlfn.IFNA(HLOOKUP(F124,'MDR Rates'!$C$1:$F$2,2,FALSE),"N/A")</f>
        <v>0</v>
      </c>
      <c r="M124" s="20">
        <f t="shared" si="3"/>
        <v>46031</v>
      </c>
      <c r="N124" s="17">
        <f t="shared" si="5"/>
        <v>1499</v>
      </c>
      <c r="O124" s="17">
        <f>GETPIVOTDATA("amount_inr",'Pivot Table'!$A$3,"merchant_name",I124,"Date",M124)</f>
        <v>1499</v>
      </c>
      <c r="P124" s="17" t="str">
        <f t="shared" si="4"/>
        <v>Standard</v>
      </c>
    </row>
    <row r="125" spans="1:16">
      <c r="A125" s="17" t="s">
        <v>138</v>
      </c>
      <c r="B125" s="17">
        <v>197</v>
      </c>
      <c r="C125" s="17">
        <v>13</v>
      </c>
      <c r="D125" s="18">
        <v>46037.7145833333</v>
      </c>
      <c r="E125" s="17">
        <v>49</v>
      </c>
      <c r="F125" s="17" t="s">
        <v>12</v>
      </c>
      <c r="G125" s="17" t="s">
        <v>10</v>
      </c>
      <c r="H125" s="17">
        <v>76</v>
      </c>
      <c r="I125" s="17" t="str">
        <f>IFERROR(VLOOKUP(C125,Merchants!$A$2:$D$41,2,FALSE),"Merchant not found")</f>
        <v>Merchant_013</v>
      </c>
      <c r="J125" s="17" t="str">
        <f>IFERROR(VLOOKUP(C125,Merchants!$A$2:$D$41,3,FALSE),"Merchant not found")</f>
        <v>travel</v>
      </c>
      <c r="K125" s="17" t="str">
        <f>IFERROR(VLOOKUP(C125,Merchants!$A$2:$D$41,4,FALSE),"Merchant not found")</f>
        <v>East</v>
      </c>
      <c r="L125" s="19">
        <f>_xlfn.IFNA(HLOOKUP(F125,'MDR Rates'!$C$1:$F$2,2,FALSE),"N/A")</f>
        <v>0</v>
      </c>
      <c r="M125" s="20">
        <f t="shared" si="3"/>
        <v>46037</v>
      </c>
      <c r="N125" s="17">
        <f t="shared" si="5"/>
        <v>49</v>
      </c>
      <c r="O125" s="17">
        <f>GETPIVOTDATA("amount_inr",'Pivot Table'!$A$3,"merchant_name",I125,"Date",M125)</f>
        <v>49</v>
      </c>
      <c r="P125" s="17" t="str">
        <f t="shared" si="4"/>
        <v>Standard</v>
      </c>
    </row>
    <row r="126" spans="1:16">
      <c r="A126" s="17" t="s">
        <v>139</v>
      </c>
      <c r="B126" s="17">
        <v>70</v>
      </c>
      <c r="C126" s="17">
        <v>5</v>
      </c>
      <c r="D126" s="18">
        <v>46039.9972222222</v>
      </c>
      <c r="E126" s="17">
        <v>499</v>
      </c>
      <c r="F126" s="17" t="s">
        <v>12</v>
      </c>
      <c r="G126" s="17" t="s">
        <v>10</v>
      </c>
      <c r="H126" s="17">
        <v>35</v>
      </c>
      <c r="I126" s="17" t="str">
        <f>IFERROR(VLOOKUP(C126,Merchants!$A$2:$D$41,2,FALSE),"Merchant not found")</f>
        <v>Merchant_005</v>
      </c>
      <c r="J126" s="17" t="str">
        <f>IFERROR(VLOOKUP(C126,Merchants!$A$2:$D$41,3,FALSE),"Merchant not found")</f>
        <v>recharge</v>
      </c>
      <c r="K126" s="17" t="str">
        <f>IFERROR(VLOOKUP(C126,Merchants!$A$2:$D$41,4,FALSE),"Merchant not found")</f>
        <v>South</v>
      </c>
      <c r="L126" s="19">
        <f>_xlfn.IFNA(HLOOKUP(F126,'MDR Rates'!$C$1:$F$2,2,FALSE),"N/A")</f>
        <v>0</v>
      </c>
      <c r="M126" s="20">
        <f t="shared" si="3"/>
        <v>46039</v>
      </c>
      <c r="N126" s="17">
        <f t="shared" si="5"/>
        <v>499</v>
      </c>
      <c r="O126" s="17">
        <f>GETPIVOTDATA("amount_inr",'Pivot Table'!$A$3,"merchant_name",I126,"Date",M126)</f>
        <v>499</v>
      </c>
      <c r="P126" s="17" t="str">
        <f t="shared" si="4"/>
        <v>Standard</v>
      </c>
    </row>
    <row r="127" spans="1:16">
      <c r="A127" s="17" t="s">
        <v>140</v>
      </c>
      <c r="B127" s="17">
        <v>260</v>
      </c>
      <c r="C127" s="17">
        <v>18</v>
      </c>
      <c r="D127" s="18">
        <v>46047.55625</v>
      </c>
      <c r="E127" s="17">
        <v>1499</v>
      </c>
      <c r="F127" s="17" t="s">
        <v>12</v>
      </c>
      <c r="G127" s="17" t="s">
        <v>10</v>
      </c>
      <c r="H127" s="17">
        <v>0</v>
      </c>
      <c r="I127" s="17" t="str">
        <f>IFERROR(VLOOKUP(C127,Merchants!$A$2:$D$41,2,FALSE),"Merchant not found")</f>
        <v>Merchant_018</v>
      </c>
      <c r="J127" s="17" t="str">
        <f>IFERROR(VLOOKUP(C127,Merchants!$A$2:$D$41,3,FALSE),"Merchant not found")</f>
        <v>grocery</v>
      </c>
      <c r="K127" s="17" t="str">
        <f>IFERROR(VLOOKUP(C127,Merchants!$A$2:$D$41,4,FALSE),"Merchant not found")</f>
        <v>West</v>
      </c>
      <c r="L127" s="19">
        <f>_xlfn.IFNA(HLOOKUP(F127,'MDR Rates'!$C$1:$F$2,2,FALSE),"N/A")</f>
        <v>0</v>
      </c>
      <c r="M127" s="20">
        <f t="shared" si="3"/>
        <v>46047</v>
      </c>
      <c r="N127" s="17">
        <f t="shared" si="5"/>
        <v>1648</v>
      </c>
      <c r="O127" s="17">
        <f>GETPIVOTDATA("amount_inr",'Pivot Table'!$A$3,"merchant_name",I127,"Date",M127)</f>
        <v>1648</v>
      </c>
      <c r="P127" s="17" t="str">
        <f t="shared" si="4"/>
        <v>Standard</v>
      </c>
    </row>
    <row r="128" spans="1:16">
      <c r="A128" s="17" t="s">
        <v>141</v>
      </c>
      <c r="B128" s="17">
        <v>301</v>
      </c>
      <c r="C128" s="17">
        <v>38</v>
      </c>
      <c r="D128" s="18">
        <v>46032.9715277778</v>
      </c>
      <c r="E128" s="17">
        <v>99</v>
      </c>
      <c r="F128" s="17" t="s">
        <v>12</v>
      </c>
      <c r="G128" s="17" t="s">
        <v>10</v>
      </c>
      <c r="H128" s="17">
        <v>84</v>
      </c>
      <c r="I128" s="17" t="str">
        <f>IFERROR(VLOOKUP(C128,Merchants!$A$2:$D$41,2,FALSE),"Merchant not found")</f>
        <v>Merchant_038</v>
      </c>
      <c r="J128" s="17" t="str">
        <f>IFERROR(VLOOKUP(C128,Merchants!$A$2:$D$41,3,FALSE),"Merchant not found")</f>
        <v>grocery</v>
      </c>
      <c r="K128" s="17" t="str">
        <f>IFERROR(VLOOKUP(C128,Merchants!$A$2:$D$41,4,FALSE),"Merchant not found")</f>
        <v>East</v>
      </c>
      <c r="L128" s="19">
        <f>_xlfn.IFNA(HLOOKUP(F128,'MDR Rates'!$C$1:$F$2,2,FALSE),"N/A")</f>
        <v>0</v>
      </c>
      <c r="M128" s="20">
        <f t="shared" si="3"/>
        <v>46032</v>
      </c>
      <c r="N128" s="17">
        <f t="shared" si="5"/>
        <v>398</v>
      </c>
      <c r="O128" s="17">
        <f>GETPIVOTDATA("amount_inr",'Pivot Table'!$A$3,"merchant_name",I128,"Date",M128)</f>
        <v>398</v>
      </c>
      <c r="P128" s="17" t="str">
        <f t="shared" si="4"/>
        <v>Standard</v>
      </c>
    </row>
    <row r="129" spans="1:16">
      <c r="A129" s="17" t="s">
        <v>142</v>
      </c>
      <c r="B129" s="17">
        <v>276</v>
      </c>
      <c r="C129" s="17">
        <v>31</v>
      </c>
      <c r="D129" s="18">
        <v>46038.1861111111</v>
      </c>
      <c r="E129" s="17">
        <v>499</v>
      </c>
      <c r="F129" s="17" t="s">
        <v>24</v>
      </c>
      <c r="G129" s="17" t="s">
        <v>10</v>
      </c>
      <c r="H129" s="17">
        <v>44</v>
      </c>
      <c r="I129" s="17" t="str">
        <f>IFERROR(VLOOKUP(C129,Merchants!$A$2:$D$41,2,FALSE),"Merchant not found")</f>
        <v>Merchant_031</v>
      </c>
      <c r="J129" s="17" t="str">
        <f>IFERROR(VLOOKUP(C129,Merchants!$A$2:$D$41,3,FALSE),"Merchant not found")</f>
        <v>bill_payment</v>
      </c>
      <c r="K129" s="17" t="str">
        <f>IFERROR(VLOOKUP(C129,Merchants!$A$2:$D$41,4,FALSE),"Merchant not found")</f>
        <v>East</v>
      </c>
      <c r="L129" s="19">
        <f>_xlfn.IFNA(HLOOKUP(F129,'MDR Rates'!$C$1:$F$2,2,FALSE),"N/A")</f>
        <v>0.02</v>
      </c>
      <c r="M129" s="20">
        <f t="shared" si="3"/>
        <v>46038</v>
      </c>
      <c r="N129" s="17">
        <f t="shared" si="5"/>
        <v>499</v>
      </c>
      <c r="O129" s="17">
        <f>GETPIVOTDATA("amount_inr",'Pivot Table'!$A$3,"merchant_name",I129,"Date",M129)</f>
        <v>499</v>
      </c>
      <c r="P129" s="17" t="str">
        <f t="shared" si="4"/>
        <v>Standard</v>
      </c>
    </row>
    <row r="130" spans="1:16">
      <c r="A130" s="17" t="s">
        <v>143</v>
      </c>
      <c r="B130" s="17">
        <v>279</v>
      </c>
      <c r="C130" s="17">
        <v>25</v>
      </c>
      <c r="D130" s="18">
        <v>46033.7416666667</v>
      </c>
      <c r="E130" s="17">
        <v>799</v>
      </c>
      <c r="F130" s="17" t="s">
        <v>12</v>
      </c>
      <c r="G130" s="17" t="s">
        <v>10</v>
      </c>
      <c r="H130" s="17">
        <v>58</v>
      </c>
      <c r="I130" s="17" t="str">
        <f>IFERROR(VLOOKUP(C130,Merchants!$A$2:$D$41,2,FALSE),"Merchant not found")</f>
        <v>Merchant_025</v>
      </c>
      <c r="J130" s="17" t="str">
        <f>IFERROR(VLOOKUP(C130,Merchants!$A$2:$D$41,3,FALSE),"Merchant not found")</f>
        <v>travel</v>
      </c>
      <c r="K130" s="17" t="str">
        <f>IFERROR(VLOOKUP(C130,Merchants!$A$2:$D$41,4,FALSE),"Merchant not found")</f>
        <v>South</v>
      </c>
      <c r="L130" s="19">
        <f>_xlfn.IFNA(HLOOKUP(F130,'MDR Rates'!$C$1:$F$2,2,FALSE),"N/A")</f>
        <v>0</v>
      </c>
      <c r="M130" s="20">
        <f t="shared" si="3"/>
        <v>46033</v>
      </c>
      <c r="N130" s="17">
        <f t="shared" si="5"/>
        <v>799</v>
      </c>
      <c r="O130" s="17">
        <f>GETPIVOTDATA("amount_inr",'Pivot Table'!$A$3,"merchant_name",I130,"Date",M130)</f>
        <v>799</v>
      </c>
      <c r="P130" s="17" t="str">
        <f t="shared" si="4"/>
        <v>Standard</v>
      </c>
    </row>
    <row r="131" spans="1:16">
      <c r="A131" s="17" t="s">
        <v>144</v>
      </c>
      <c r="B131" s="17">
        <v>97</v>
      </c>
      <c r="C131" s="17">
        <v>16</v>
      </c>
      <c r="D131" s="18">
        <v>46052.4548611111</v>
      </c>
      <c r="E131" s="17">
        <v>799</v>
      </c>
      <c r="F131" s="17" t="s">
        <v>24</v>
      </c>
      <c r="G131" s="17" t="s">
        <v>10</v>
      </c>
      <c r="H131" s="17">
        <v>73</v>
      </c>
      <c r="I131" s="17" t="str">
        <f>IFERROR(VLOOKUP(C131,Merchants!$A$2:$D$41,2,FALSE),"Merchant not found")</f>
        <v>Merchant_016</v>
      </c>
      <c r="J131" s="17" t="str">
        <f>IFERROR(VLOOKUP(C131,Merchants!$A$2:$D$41,3,FALSE),"Merchant not found")</f>
        <v>bill_payment</v>
      </c>
      <c r="K131" s="17" t="str">
        <f>IFERROR(VLOOKUP(C131,Merchants!$A$2:$D$41,4,FALSE),"Merchant not found")</f>
        <v>West</v>
      </c>
      <c r="L131" s="19">
        <f>_xlfn.IFNA(HLOOKUP(F131,'MDR Rates'!$C$1:$F$2,2,FALSE),"N/A")</f>
        <v>0.02</v>
      </c>
      <c r="M131" s="20">
        <f t="shared" ref="M131:M194" si="6">INT(D131)</f>
        <v>46052</v>
      </c>
      <c r="N131" s="17">
        <f t="shared" si="5"/>
        <v>898</v>
      </c>
      <c r="O131" s="17">
        <f>GETPIVOTDATA("amount_inr",'Pivot Table'!$A$3,"merchant_name",I131,"Date",M131)</f>
        <v>898</v>
      </c>
      <c r="P131" s="17" t="str">
        <f t="shared" ref="P131:P194" si="7">IF(AND(O131&gt;5000,K131&lt;&gt;"East"),"High-Value Merchant Day","Standard")</f>
        <v>Standard</v>
      </c>
    </row>
    <row r="132" spans="1:16">
      <c r="A132" s="17" t="s">
        <v>145</v>
      </c>
      <c r="B132" s="17">
        <v>211</v>
      </c>
      <c r="C132" s="17">
        <v>3</v>
      </c>
      <c r="D132" s="18">
        <v>46035.3291666667</v>
      </c>
      <c r="E132" s="17">
        <v>149</v>
      </c>
      <c r="F132" s="17" t="s">
        <v>12</v>
      </c>
      <c r="G132" s="17" t="s">
        <v>38</v>
      </c>
      <c r="H132" s="17">
        <v>40</v>
      </c>
      <c r="I132" s="17" t="str">
        <f>IFERROR(VLOOKUP(C132,Merchants!$A$2:$D$41,2,FALSE),"Merchant not found")</f>
        <v>Merchant_003</v>
      </c>
      <c r="J132" s="17" t="str">
        <f>IFERROR(VLOOKUP(C132,Merchants!$A$2:$D$41,3,FALSE),"Merchant not found")</f>
        <v>grocery</v>
      </c>
      <c r="K132" s="17" t="str">
        <f>IFERROR(VLOOKUP(C132,Merchants!$A$2:$D$41,4,FALSE),"Merchant not found")</f>
        <v>East</v>
      </c>
      <c r="L132" s="19">
        <f>_xlfn.IFNA(HLOOKUP(F132,'MDR Rates'!$C$1:$F$2,2,FALSE),"N/A")</f>
        <v>0</v>
      </c>
      <c r="M132" s="20">
        <f t="shared" si="6"/>
        <v>46035</v>
      </c>
      <c r="N132" s="17">
        <f t="shared" si="5"/>
        <v>198</v>
      </c>
      <c r="O132" s="17">
        <f>GETPIVOTDATA("amount_inr",'Pivot Table'!$A$3,"merchant_name",I132,"Date",M132)</f>
        <v>198</v>
      </c>
      <c r="P132" s="17" t="str">
        <f t="shared" si="7"/>
        <v>Standard</v>
      </c>
    </row>
    <row r="133" spans="1:16">
      <c r="A133" s="17" t="s">
        <v>146</v>
      </c>
      <c r="B133" s="17">
        <v>196</v>
      </c>
      <c r="C133" s="17">
        <v>25</v>
      </c>
      <c r="D133" s="18">
        <v>46046.65625</v>
      </c>
      <c r="E133" s="17">
        <v>149</v>
      </c>
      <c r="F133" s="17" t="s">
        <v>15</v>
      </c>
      <c r="G133" s="17" t="s">
        <v>10</v>
      </c>
      <c r="H133" s="17">
        <v>84</v>
      </c>
      <c r="I133" s="17" t="str">
        <f>IFERROR(VLOOKUP(C133,Merchants!$A$2:$D$41,2,FALSE),"Merchant not found")</f>
        <v>Merchant_025</v>
      </c>
      <c r="J133" s="17" t="str">
        <f>IFERROR(VLOOKUP(C133,Merchants!$A$2:$D$41,3,FALSE),"Merchant not found")</f>
        <v>travel</v>
      </c>
      <c r="K133" s="17" t="str">
        <f>IFERROR(VLOOKUP(C133,Merchants!$A$2:$D$41,4,FALSE),"Merchant not found")</f>
        <v>South</v>
      </c>
      <c r="L133" s="19">
        <f>_xlfn.IFNA(HLOOKUP(F133,'MDR Rates'!$C$1:$F$2,2,FALSE),"N/A")</f>
        <v>0.015</v>
      </c>
      <c r="M133" s="20">
        <f t="shared" si="6"/>
        <v>46046</v>
      </c>
      <c r="N133" s="17">
        <f t="shared" ref="N133:N196" si="8">SUMIFS($E$2:$E$548,$C$2:$C$548,C133,$M$2:$M$548,M133)</f>
        <v>497</v>
      </c>
      <c r="O133" s="17">
        <f>GETPIVOTDATA("amount_inr",'Pivot Table'!$A$3,"merchant_name",I133,"Date",M133)</f>
        <v>497</v>
      </c>
      <c r="P133" s="17" t="str">
        <f t="shared" si="7"/>
        <v>Standard</v>
      </c>
    </row>
    <row r="134" spans="1:16">
      <c r="A134" s="17" t="s">
        <v>147</v>
      </c>
      <c r="B134" s="17">
        <v>254</v>
      </c>
      <c r="C134" s="17">
        <v>3</v>
      </c>
      <c r="D134" s="18">
        <v>46048.8395833333</v>
      </c>
      <c r="E134" s="17">
        <v>149</v>
      </c>
      <c r="F134" s="17" t="s">
        <v>24</v>
      </c>
      <c r="G134" s="17" t="s">
        <v>10</v>
      </c>
      <c r="H134" s="17">
        <v>16</v>
      </c>
      <c r="I134" s="17" t="str">
        <f>IFERROR(VLOOKUP(C134,Merchants!$A$2:$D$41,2,FALSE),"Merchant not found")</f>
        <v>Merchant_003</v>
      </c>
      <c r="J134" s="17" t="str">
        <f>IFERROR(VLOOKUP(C134,Merchants!$A$2:$D$41,3,FALSE),"Merchant not found")</f>
        <v>grocery</v>
      </c>
      <c r="K134" s="17" t="str">
        <f>IFERROR(VLOOKUP(C134,Merchants!$A$2:$D$41,4,FALSE),"Merchant not found")</f>
        <v>East</v>
      </c>
      <c r="L134" s="19">
        <f>_xlfn.IFNA(HLOOKUP(F134,'MDR Rates'!$C$1:$F$2,2,FALSE),"N/A")</f>
        <v>0.02</v>
      </c>
      <c r="M134" s="20">
        <f t="shared" si="6"/>
        <v>46048</v>
      </c>
      <c r="N134" s="17">
        <f t="shared" si="8"/>
        <v>149</v>
      </c>
      <c r="O134" s="17">
        <f>GETPIVOTDATA("amount_inr",'Pivot Table'!$A$3,"merchant_name",I134,"Date",M134)</f>
        <v>149</v>
      </c>
      <c r="P134" s="17" t="str">
        <f t="shared" si="7"/>
        <v>Standard</v>
      </c>
    </row>
    <row r="135" spans="1:16">
      <c r="A135" s="17" t="s">
        <v>148</v>
      </c>
      <c r="B135" s="17">
        <v>52</v>
      </c>
      <c r="C135" s="17">
        <v>29</v>
      </c>
      <c r="D135" s="18">
        <v>46039.7645833333</v>
      </c>
      <c r="E135" s="17">
        <v>49</v>
      </c>
      <c r="F135" s="17" t="s">
        <v>15</v>
      </c>
      <c r="G135" s="17" t="s">
        <v>10</v>
      </c>
      <c r="H135" s="17">
        <v>12</v>
      </c>
      <c r="I135" s="17" t="str">
        <f>IFERROR(VLOOKUP(C135,Merchants!$A$2:$D$41,2,FALSE),"Merchant not found")</f>
        <v>Merchant_029</v>
      </c>
      <c r="J135" s="17" t="str">
        <f>IFERROR(VLOOKUP(C135,Merchants!$A$2:$D$41,3,FALSE),"Merchant not found")</f>
        <v>ecommerce</v>
      </c>
      <c r="K135" s="17" t="str">
        <f>IFERROR(VLOOKUP(C135,Merchants!$A$2:$D$41,4,FALSE),"Merchant not found")</f>
        <v>North</v>
      </c>
      <c r="L135" s="19">
        <f>_xlfn.IFNA(HLOOKUP(F135,'MDR Rates'!$C$1:$F$2,2,FALSE),"N/A")</f>
        <v>0.015</v>
      </c>
      <c r="M135" s="20">
        <f t="shared" si="6"/>
        <v>46039</v>
      </c>
      <c r="N135" s="17">
        <f t="shared" si="8"/>
        <v>49</v>
      </c>
      <c r="O135" s="17">
        <f>GETPIVOTDATA("amount_inr",'Pivot Table'!$A$3,"merchant_name",I135,"Date",M135)</f>
        <v>49</v>
      </c>
      <c r="P135" s="17" t="str">
        <f t="shared" si="7"/>
        <v>Standard</v>
      </c>
    </row>
    <row r="136" spans="1:16">
      <c r="A136" s="17" t="s">
        <v>149</v>
      </c>
      <c r="B136" s="17">
        <v>74</v>
      </c>
      <c r="C136" s="17">
        <v>27</v>
      </c>
      <c r="D136" s="18">
        <v>46039.5833333333</v>
      </c>
      <c r="E136" s="17">
        <v>799</v>
      </c>
      <c r="F136" s="17" t="s">
        <v>12</v>
      </c>
      <c r="G136" s="17" t="s">
        <v>10</v>
      </c>
      <c r="H136" s="17">
        <v>83</v>
      </c>
      <c r="I136" s="17" t="str">
        <f>IFERROR(VLOOKUP(C136,Merchants!$A$2:$D$41,2,FALSE),"Merchant not found")</f>
        <v>Merchant_027</v>
      </c>
      <c r="J136" s="17" t="str">
        <f>IFERROR(VLOOKUP(C136,Merchants!$A$2:$D$41,3,FALSE),"Merchant not found")</f>
        <v>ecommerce</v>
      </c>
      <c r="K136" s="17" t="str">
        <f>IFERROR(VLOOKUP(C136,Merchants!$A$2:$D$41,4,FALSE),"Merchant not found")</f>
        <v>North</v>
      </c>
      <c r="L136" s="19">
        <f>_xlfn.IFNA(HLOOKUP(F136,'MDR Rates'!$C$1:$F$2,2,FALSE),"N/A")</f>
        <v>0</v>
      </c>
      <c r="M136" s="20">
        <f t="shared" si="6"/>
        <v>46039</v>
      </c>
      <c r="N136" s="17">
        <f t="shared" si="8"/>
        <v>1597</v>
      </c>
      <c r="O136" s="17">
        <f>GETPIVOTDATA("amount_inr",'Pivot Table'!$A$3,"merchant_name",I136,"Date",M136)</f>
        <v>1597</v>
      </c>
      <c r="P136" s="17" t="str">
        <f t="shared" si="7"/>
        <v>Standard</v>
      </c>
    </row>
    <row r="137" spans="1:16">
      <c r="A137" s="17" t="s">
        <v>150</v>
      </c>
      <c r="B137" s="17">
        <v>136</v>
      </c>
      <c r="C137" s="17">
        <v>22</v>
      </c>
      <c r="D137" s="18">
        <v>46027.1041666667</v>
      </c>
      <c r="E137" s="17">
        <v>149</v>
      </c>
      <c r="F137" s="17" t="s">
        <v>12</v>
      </c>
      <c r="G137" s="17" t="s">
        <v>10</v>
      </c>
      <c r="H137" s="17">
        <v>79</v>
      </c>
      <c r="I137" s="17" t="str">
        <f>IFERROR(VLOOKUP(C137,Merchants!$A$2:$D$41,2,FALSE),"Merchant not found")</f>
        <v>Merchant_022</v>
      </c>
      <c r="J137" s="17" t="str">
        <f>IFERROR(VLOOKUP(C137,Merchants!$A$2:$D$41,3,FALSE),"Merchant not found")</f>
        <v>travel</v>
      </c>
      <c r="K137" s="17" t="str">
        <f>IFERROR(VLOOKUP(C137,Merchants!$A$2:$D$41,4,FALSE),"Merchant not found")</f>
        <v>South</v>
      </c>
      <c r="L137" s="19">
        <f>_xlfn.IFNA(HLOOKUP(F137,'MDR Rates'!$C$1:$F$2,2,FALSE),"N/A")</f>
        <v>0</v>
      </c>
      <c r="M137" s="20">
        <f t="shared" si="6"/>
        <v>46027</v>
      </c>
      <c r="N137" s="17">
        <f t="shared" si="8"/>
        <v>448</v>
      </c>
      <c r="O137" s="17">
        <f>GETPIVOTDATA("amount_inr",'Pivot Table'!$A$3,"merchant_name",I137,"Date",M137)</f>
        <v>448</v>
      </c>
      <c r="P137" s="17" t="str">
        <f t="shared" si="7"/>
        <v>Standard</v>
      </c>
    </row>
    <row r="138" spans="1:16">
      <c r="A138" s="17" t="s">
        <v>151</v>
      </c>
      <c r="B138" s="17">
        <v>42</v>
      </c>
      <c r="C138" s="17">
        <v>22</v>
      </c>
      <c r="D138" s="18">
        <v>46045.5284722222</v>
      </c>
      <c r="E138" s="17">
        <v>49</v>
      </c>
      <c r="F138" s="17" t="s">
        <v>12</v>
      </c>
      <c r="G138" s="17" t="s">
        <v>10</v>
      </c>
      <c r="H138" s="17">
        <v>86</v>
      </c>
      <c r="I138" s="17" t="str">
        <f>IFERROR(VLOOKUP(C138,Merchants!$A$2:$D$41,2,FALSE),"Merchant not found")</f>
        <v>Merchant_022</v>
      </c>
      <c r="J138" s="17" t="str">
        <f>IFERROR(VLOOKUP(C138,Merchants!$A$2:$D$41,3,FALSE),"Merchant not found")</f>
        <v>travel</v>
      </c>
      <c r="K138" s="17" t="str">
        <f>IFERROR(VLOOKUP(C138,Merchants!$A$2:$D$41,4,FALSE),"Merchant not found")</f>
        <v>South</v>
      </c>
      <c r="L138" s="19">
        <f>_xlfn.IFNA(HLOOKUP(F138,'MDR Rates'!$C$1:$F$2,2,FALSE),"N/A")</f>
        <v>0</v>
      </c>
      <c r="M138" s="20">
        <f t="shared" si="6"/>
        <v>46045</v>
      </c>
      <c r="N138" s="17">
        <f t="shared" si="8"/>
        <v>49</v>
      </c>
      <c r="O138" s="17">
        <f>GETPIVOTDATA("amount_inr",'Pivot Table'!$A$3,"merchant_name",I138,"Date",M138)</f>
        <v>49</v>
      </c>
      <c r="P138" s="17" t="str">
        <f t="shared" si="7"/>
        <v>Standard</v>
      </c>
    </row>
    <row r="139" spans="1:16">
      <c r="A139" s="17" t="s">
        <v>152</v>
      </c>
      <c r="B139" s="17">
        <v>163</v>
      </c>
      <c r="C139" s="17">
        <v>32</v>
      </c>
      <c r="D139" s="18">
        <v>46050.725</v>
      </c>
      <c r="E139" s="17">
        <v>2999</v>
      </c>
      <c r="F139" s="17" t="s">
        <v>9</v>
      </c>
      <c r="G139" s="17" t="s">
        <v>25</v>
      </c>
      <c r="H139" s="17">
        <v>69</v>
      </c>
      <c r="I139" s="17" t="str">
        <f>IFERROR(VLOOKUP(C139,Merchants!$A$2:$D$41,2,FALSE),"Merchant not found")</f>
        <v>Merchant_032</v>
      </c>
      <c r="J139" s="17" t="str">
        <f>IFERROR(VLOOKUP(C139,Merchants!$A$2:$D$41,3,FALSE),"Merchant not found")</f>
        <v>food_delivery</v>
      </c>
      <c r="K139" s="17" t="str">
        <f>IFERROR(VLOOKUP(C139,Merchants!$A$2:$D$41,4,FALSE),"Merchant not found")</f>
        <v>West</v>
      </c>
      <c r="L139" s="19">
        <f>_xlfn.IFNA(HLOOKUP(F139,'MDR Rates'!$C$1:$F$2,2,FALSE),"N/A")</f>
        <v>0.01</v>
      </c>
      <c r="M139" s="20">
        <f t="shared" si="6"/>
        <v>46050</v>
      </c>
      <c r="N139" s="17">
        <f t="shared" si="8"/>
        <v>2999</v>
      </c>
      <c r="O139" s="17">
        <f>GETPIVOTDATA("amount_inr",'Pivot Table'!$A$3,"merchant_name",I139,"Date",M139)</f>
        <v>2999</v>
      </c>
      <c r="P139" s="17" t="str">
        <f t="shared" si="7"/>
        <v>Standard</v>
      </c>
    </row>
    <row r="140" spans="1:16">
      <c r="A140" s="17" t="s">
        <v>153</v>
      </c>
      <c r="B140" s="17">
        <v>121</v>
      </c>
      <c r="C140" s="17">
        <v>19</v>
      </c>
      <c r="D140" s="18">
        <v>46024.7944444444</v>
      </c>
      <c r="E140" s="17">
        <v>149</v>
      </c>
      <c r="F140" s="17" t="s">
        <v>12</v>
      </c>
      <c r="G140" s="17" t="s">
        <v>10</v>
      </c>
      <c r="H140" s="17">
        <v>29</v>
      </c>
      <c r="I140" s="17" t="str">
        <f>IFERROR(VLOOKUP(C140,Merchants!$A$2:$D$41,2,FALSE),"Merchant not found")</f>
        <v>Merchant_019</v>
      </c>
      <c r="J140" s="17" t="str">
        <f>IFERROR(VLOOKUP(C140,Merchants!$A$2:$D$41,3,FALSE),"Merchant not found")</f>
        <v>grocery</v>
      </c>
      <c r="K140" s="17" t="str">
        <f>IFERROR(VLOOKUP(C140,Merchants!$A$2:$D$41,4,FALSE),"Merchant not found")</f>
        <v>North</v>
      </c>
      <c r="L140" s="19">
        <f>_xlfn.IFNA(HLOOKUP(F140,'MDR Rates'!$C$1:$F$2,2,FALSE),"N/A")</f>
        <v>0</v>
      </c>
      <c r="M140" s="20">
        <f t="shared" si="6"/>
        <v>46024</v>
      </c>
      <c r="N140" s="17">
        <f t="shared" si="8"/>
        <v>149</v>
      </c>
      <c r="O140" s="17">
        <f>GETPIVOTDATA("amount_inr",'Pivot Table'!$A$3,"merchant_name",I140,"Date",M140)</f>
        <v>149</v>
      </c>
      <c r="P140" s="17" t="str">
        <f t="shared" si="7"/>
        <v>Standard</v>
      </c>
    </row>
    <row r="141" spans="1:16">
      <c r="A141" s="17" t="s">
        <v>154</v>
      </c>
      <c r="B141" s="17">
        <v>51</v>
      </c>
      <c r="C141" s="17">
        <v>7</v>
      </c>
      <c r="D141" s="18">
        <v>46046.1020833333</v>
      </c>
      <c r="E141" s="17">
        <v>499</v>
      </c>
      <c r="F141" s="17" t="s">
        <v>24</v>
      </c>
      <c r="G141" s="17" t="s">
        <v>10</v>
      </c>
      <c r="H141" s="17">
        <v>56</v>
      </c>
      <c r="I141" s="17" t="str">
        <f>IFERROR(VLOOKUP(C141,Merchants!$A$2:$D$41,2,FALSE),"Merchant not found")</f>
        <v>Merchant_007</v>
      </c>
      <c r="J141" s="17" t="str">
        <f>IFERROR(VLOOKUP(C141,Merchants!$A$2:$D$41,3,FALSE),"Merchant not found")</f>
        <v>food_delivery</v>
      </c>
      <c r="K141" s="17" t="str">
        <f>IFERROR(VLOOKUP(C141,Merchants!$A$2:$D$41,4,FALSE),"Merchant not found")</f>
        <v>East</v>
      </c>
      <c r="L141" s="19">
        <f>_xlfn.IFNA(HLOOKUP(F141,'MDR Rates'!$C$1:$F$2,2,FALSE),"N/A")</f>
        <v>0.02</v>
      </c>
      <c r="M141" s="20">
        <f t="shared" si="6"/>
        <v>46046</v>
      </c>
      <c r="N141" s="17">
        <f t="shared" si="8"/>
        <v>1298</v>
      </c>
      <c r="O141" s="17">
        <f>GETPIVOTDATA("amount_inr",'Pivot Table'!$A$3,"merchant_name",I141,"Date",M141)</f>
        <v>1298</v>
      </c>
      <c r="P141" s="17" t="str">
        <f t="shared" si="7"/>
        <v>Standard</v>
      </c>
    </row>
    <row r="142" spans="1:16">
      <c r="A142" s="17" t="s">
        <v>155</v>
      </c>
      <c r="B142" s="17">
        <v>15</v>
      </c>
      <c r="C142" s="17">
        <v>3</v>
      </c>
      <c r="D142" s="18">
        <v>46028.9298611111</v>
      </c>
      <c r="E142" s="17">
        <v>799</v>
      </c>
      <c r="F142" s="17" t="s">
        <v>12</v>
      </c>
      <c r="G142" s="17" t="s">
        <v>10</v>
      </c>
      <c r="H142" s="17">
        <v>41</v>
      </c>
      <c r="I142" s="17" t="str">
        <f>IFERROR(VLOOKUP(C142,Merchants!$A$2:$D$41,2,FALSE),"Merchant not found")</f>
        <v>Merchant_003</v>
      </c>
      <c r="J142" s="17" t="str">
        <f>IFERROR(VLOOKUP(C142,Merchants!$A$2:$D$41,3,FALSE),"Merchant not found")</f>
        <v>grocery</v>
      </c>
      <c r="K142" s="17" t="str">
        <f>IFERROR(VLOOKUP(C142,Merchants!$A$2:$D$41,4,FALSE),"Merchant not found")</f>
        <v>East</v>
      </c>
      <c r="L142" s="19">
        <f>_xlfn.IFNA(HLOOKUP(F142,'MDR Rates'!$C$1:$F$2,2,FALSE),"N/A")</f>
        <v>0</v>
      </c>
      <c r="M142" s="20">
        <f t="shared" si="6"/>
        <v>46028</v>
      </c>
      <c r="N142" s="17">
        <f t="shared" si="8"/>
        <v>898</v>
      </c>
      <c r="O142" s="17">
        <f>GETPIVOTDATA("amount_inr",'Pivot Table'!$A$3,"merchant_name",I142,"Date",M142)</f>
        <v>898</v>
      </c>
      <c r="P142" s="17" t="str">
        <f t="shared" si="7"/>
        <v>Standard</v>
      </c>
    </row>
    <row r="143" spans="1:16">
      <c r="A143" s="17" t="s">
        <v>156</v>
      </c>
      <c r="B143" s="17">
        <v>184</v>
      </c>
      <c r="C143" s="17">
        <v>24</v>
      </c>
      <c r="D143" s="18">
        <v>46048.0541666667</v>
      </c>
      <c r="E143" s="17">
        <v>49</v>
      </c>
      <c r="F143" s="17" t="s">
        <v>12</v>
      </c>
      <c r="G143" s="17" t="s">
        <v>10</v>
      </c>
      <c r="H143" s="17">
        <v>55</v>
      </c>
      <c r="I143" s="17" t="str">
        <f>IFERROR(VLOOKUP(C143,Merchants!$A$2:$D$41,2,FALSE),"Merchant not found")</f>
        <v>Merchant_024</v>
      </c>
      <c r="J143" s="17" t="str">
        <f>IFERROR(VLOOKUP(C143,Merchants!$A$2:$D$41,3,FALSE),"Merchant not found")</f>
        <v>grocery</v>
      </c>
      <c r="K143" s="17" t="str">
        <f>IFERROR(VLOOKUP(C143,Merchants!$A$2:$D$41,4,FALSE),"Merchant not found")</f>
        <v>North</v>
      </c>
      <c r="L143" s="19">
        <f>_xlfn.IFNA(HLOOKUP(F143,'MDR Rates'!$C$1:$F$2,2,FALSE),"N/A")</f>
        <v>0</v>
      </c>
      <c r="M143" s="20">
        <f t="shared" si="6"/>
        <v>46048</v>
      </c>
      <c r="N143" s="17">
        <f t="shared" si="8"/>
        <v>348</v>
      </c>
      <c r="O143" s="17">
        <f>GETPIVOTDATA("amount_inr",'Pivot Table'!$A$3,"merchant_name",I143,"Date",M143)</f>
        <v>348</v>
      </c>
      <c r="P143" s="17" t="str">
        <f t="shared" si="7"/>
        <v>Standard</v>
      </c>
    </row>
    <row r="144" spans="1:16">
      <c r="A144" s="17" t="s">
        <v>157</v>
      </c>
      <c r="B144" s="17">
        <v>211</v>
      </c>
      <c r="C144" s="17">
        <v>37</v>
      </c>
      <c r="D144" s="18">
        <v>46027.3145833333</v>
      </c>
      <c r="E144" s="17">
        <v>1499</v>
      </c>
      <c r="F144" s="17" t="s">
        <v>12</v>
      </c>
      <c r="G144" s="17" t="s">
        <v>10</v>
      </c>
      <c r="H144" s="17">
        <v>87</v>
      </c>
      <c r="I144" s="17" t="str">
        <f>IFERROR(VLOOKUP(C144,Merchants!$A$2:$D$41,2,FALSE),"Merchant not found")</f>
        <v>Merchant_037</v>
      </c>
      <c r="J144" s="17" t="str">
        <f>IFERROR(VLOOKUP(C144,Merchants!$A$2:$D$41,3,FALSE),"Merchant not found")</f>
        <v>entertainment</v>
      </c>
      <c r="K144" s="17" t="str">
        <f>IFERROR(VLOOKUP(C144,Merchants!$A$2:$D$41,4,FALSE),"Merchant not found")</f>
        <v>South</v>
      </c>
      <c r="L144" s="19">
        <f>_xlfn.IFNA(HLOOKUP(F144,'MDR Rates'!$C$1:$F$2,2,FALSE),"N/A")</f>
        <v>0</v>
      </c>
      <c r="M144" s="20">
        <f t="shared" si="6"/>
        <v>46027</v>
      </c>
      <c r="N144" s="17">
        <f t="shared" si="8"/>
        <v>1499</v>
      </c>
      <c r="O144" s="17">
        <f>GETPIVOTDATA("amount_inr",'Pivot Table'!$A$3,"merchant_name",I144,"Date",M144)</f>
        <v>1499</v>
      </c>
      <c r="P144" s="17" t="str">
        <f t="shared" si="7"/>
        <v>Standard</v>
      </c>
    </row>
    <row r="145" spans="1:16">
      <c r="A145" s="17" t="s">
        <v>158</v>
      </c>
      <c r="B145" s="17">
        <v>90</v>
      </c>
      <c r="C145" s="17">
        <v>6</v>
      </c>
      <c r="D145" s="18">
        <v>46048.2152777778</v>
      </c>
      <c r="E145" s="17">
        <v>49</v>
      </c>
      <c r="F145" s="17" t="s">
        <v>24</v>
      </c>
      <c r="G145" s="17" t="s">
        <v>10</v>
      </c>
      <c r="H145" s="17">
        <v>78</v>
      </c>
      <c r="I145" s="17" t="str">
        <f>IFERROR(VLOOKUP(C145,Merchants!$A$2:$D$41,2,FALSE),"Merchant not found")</f>
        <v>Merchant_006</v>
      </c>
      <c r="J145" s="17" t="str">
        <f>IFERROR(VLOOKUP(C145,Merchants!$A$2:$D$41,3,FALSE),"Merchant not found")</f>
        <v>food_delivery</v>
      </c>
      <c r="K145" s="17" t="str">
        <f>IFERROR(VLOOKUP(C145,Merchants!$A$2:$D$41,4,FALSE),"Merchant not found")</f>
        <v>South</v>
      </c>
      <c r="L145" s="19">
        <f>_xlfn.IFNA(HLOOKUP(F145,'MDR Rates'!$C$1:$F$2,2,FALSE),"N/A")</f>
        <v>0.02</v>
      </c>
      <c r="M145" s="20">
        <f t="shared" si="6"/>
        <v>46048</v>
      </c>
      <c r="N145" s="17">
        <f t="shared" si="8"/>
        <v>897</v>
      </c>
      <c r="O145" s="17">
        <f>GETPIVOTDATA("amount_inr",'Pivot Table'!$A$3,"merchant_name",I145,"Date",M145)</f>
        <v>897</v>
      </c>
      <c r="P145" s="17" t="str">
        <f t="shared" si="7"/>
        <v>Standard</v>
      </c>
    </row>
    <row r="146" spans="1:16">
      <c r="A146" s="17" t="s">
        <v>159</v>
      </c>
      <c r="B146" s="17">
        <v>350</v>
      </c>
      <c r="C146" s="17">
        <v>16</v>
      </c>
      <c r="D146" s="18">
        <v>46050.5270833333</v>
      </c>
      <c r="E146" s="17">
        <v>49</v>
      </c>
      <c r="F146" s="17" t="s">
        <v>12</v>
      </c>
      <c r="G146" s="17" t="s">
        <v>10</v>
      </c>
      <c r="H146" s="17">
        <v>63</v>
      </c>
      <c r="I146" s="17" t="str">
        <f>IFERROR(VLOOKUP(C146,Merchants!$A$2:$D$41,2,FALSE),"Merchant not found")</f>
        <v>Merchant_016</v>
      </c>
      <c r="J146" s="17" t="str">
        <f>IFERROR(VLOOKUP(C146,Merchants!$A$2:$D$41,3,FALSE),"Merchant not found")</f>
        <v>bill_payment</v>
      </c>
      <c r="K146" s="17" t="str">
        <f>IFERROR(VLOOKUP(C146,Merchants!$A$2:$D$41,4,FALSE),"Merchant not found")</f>
        <v>West</v>
      </c>
      <c r="L146" s="19">
        <f>_xlfn.IFNA(HLOOKUP(F146,'MDR Rates'!$C$1:$F$2,2,FALSE),"N/A")</f>
        <v>0</v>
      </c>
      <c r="M146" s="20">
        <f t="shared" si="6"/>
        <v>46050</v>
      </c>
      <c r="N146" s="17">
        <f t="shared" si="8"/>
        <v>49</v>
      </c>
      <c r="O146" s="17">
        <f>GETPIVOTDATA("amount_inr",'Pivot Table'!$A$3,"merchant_name",I146,"Date",M146)</f>
        <v>49</v>
      </c>
      <c r="P146" s="17" t="str">
        <f t="shared" si="7"/>
        <v>Standard</v>
      </c>
    </row>
    <row r="147" spans="1:16">
      <c r="A147" s="17" t="s">
        <v>160</v>
      </c>
      <c r="B147" s="17">
        <v>119</v>
      </c>
      <c r="C147" s="17">
        <v>30</v>
      </c>
      <c r="D147" s="18">
        <v>46052.75625</v>
      </c>
      <c r="E147" s="17">
        <v>49</v>
      </c>
      <c r="F147" s="17" t="s">
        <v>24</v>
      </c>
      <c r="G147" s="17" t="s">
        <v>10</v>
      </c>
      <c r="H147" s="17">
        <v>81</v>
      </c>
      <c r="I147" s="17" t="str">
        <f>IFERROR(VLOOKUP(C147,Merchants!$A$2:$D$41,2,FALSE),"Merchant not found")</f>
        <v>Merchant_030</v>
      </c>
      <c r="J147" s="17" t="str">
        <f>IFERROR(VLOOKUP(C147,Merchants!$A$2:$D$41,3,FALSE),"Merchant not found")</f>
        <v>travel</v>
      </c>
      <c r="K147" s="17" t="str">
        <f>IFERROR(VLOOKUP(C147,Merchants!$A$2:$D$41,4,FALSE),"Merchant not found")</f>
        <v>West</v>
      </c>
      <c r="L147" s="19">
        <f>_xlfn.IFNA(HLOOKUP(F147,'MDR Rates'!$C$1:$F$2,2,FALSE),"N/A")</f>
        <v>0.02</v>
      </c>
      <c r="M147" s="20">
        <f t="shared" si="6"/>
        <v>46052</v>
      </c>
      <c r="N147" s="17">
        <f t="shared" si="8"/>
        <v>49</v>
      </c>
      <c r="O147" s="17">
        <f>GETPIVOTDATA("amount_inr",'Pivot Table'!$A$3,"merchant_name",I147,"Date",M147)</f>
        <v>49</v>
      </c>
      <c r="P147" s="17" t="str">
        <f t="shared" si="7"/>
        <v>Standard</v>
      </c>
    </row>
    <row r="148" spans="1:16">
      <c r="A148" s="17" t="s">
        <v>161</v>
      </c>
      <c r="B148" s="17">
        <v>342</v>
      </c>
      <c r="C148" s="17">
        <v>1</v>
      </c>
      <c r="D148" s="18">
        <v>46031.5944444444</v>
      </c>
      <c r="E148" s="17">
        <v>49</v>
      </c>
      <c r="F148" s="17" t="s">
        <v>12</v>
      </c>
      <c r="G148" s="17" t="s">
        <v>10</v>
      </c>
      <c r="H148" s="17">
        <v>59</v>
      </c>
      <c r="I148" s="17" t="str">
        <f>IFERROR(VLOOKUP(C148,Merchants!$A$2:$D$41,2,FALSE),"Merchant not found")</f>
        <v>Merchant_001</v>
      </c>
      <c r="J148" s="17" t="str">
        <f>IFERROR(VLOOKUP(C148,Merchants!$A$2:$D$41,3,FALSE),"Merchant not found")</f>
        <v>ecommerce</v>
      </c>
      <c r="K148" s="17" t="str">
        <f>IFERROR(VLOOKUP(C148,Merchants!$A$2:$D$41,4,FALSE),"Merchant not found")</f>
        <v>South</v>
      </c>
      <c r="L148" s="19">
        <f>_xlfn.IFNA(HLOOKUP(F148,'MDR Rates'!$C$1:$F$2,2,FALSE),"N/A")</f>
        <v>0</v>
      </c>
      <c r="M148" s="20">
        <f t="shared" si="6"/>
        <v>46031</v>
      </c>
      <c r="N148" s="17">
        <f t="shared" si="8"/>
        <v>5048</v>
      </c>
      <c r="O148" s="17">
        <f>GETPIVOTDATA("amount_inr",'Pivot Table'!$A$3,"merchant_name",I148,"Date",M148)</f>
        <v>5048</v>
      </c>
      <c r="P148" s="17" t="str">
        <f t="shared" si="7"/>
        <v>High-Value Merchant Day</v>
      </c>
    </row>
    <row r="149" spans="1:16">
      <c r="A149" s="17" t="s">
        <v>162</v>
      </c>
      <c r="B149" s="17">
        <v>280</v>
      </c>
      <c r="C149" s="17">
        <v>11</v>
      </c>
      <c r="D149" s="18">
        <v>46051.4048611111</v>
      </c>
      <c r="E149" s="17">
        <v>149</v>
      </c>
      <c r="F149" s="17" t="s">
        <v>12</v>
      </c>
      <c r="G149" s="17" t="s">
        <v>38</v>
      </c>
      <c r="H149" s="17">
        <v>9</v>
      </c>
      <c r="I149" s="17" t="str">
        <f>IFERROR(VLOOKUP(C149,Merchants!$A$2:$D$41,2,FALSE),"Merchant not found")</f>
        <v>Merchant_011</v>
      </c>
      <c r="J149" s="17" t="str">
        <f>IFERROR(VLOOKUP(C149,Merchants!$A$2:$D$41,3,FALSE),"Merchant not found")</f>
        <v>ecommerce</v>
      </c>
      <c r="K149" s="17" t="str">
        <f>IFERROR(VLOOKUP(C149,Merchants!$A$2:$D$41,4,FALSE),"Merchant not found")</f>
        <v>North</v>
      </c>
      <c r="L149" s="19">
        <f>_xlfn.IFNA(HLOOKUP(F149,'MDR Rates'!$C$1:$F$2,2,FALSE),"N/A")</f>
        <v>0</v>
      </c>
      <c r="M149" s="20">
        <f t="shared" si="6"/>
        <v>46051</v>
      </c>
      <c r="N149" s="17">
        <f t="shared" si="8"/>
        <v>149</v>
      </c>
      <c r="O149" s="17">
        <f>GETPIVOTDATA("amount_inr",'Pivot Table'!$A$3,"merchant_name",I149,"Date",M149)</f>
        <v>149</v>
      </c>
      <c r="P149" s="17" t="str">
        <f t="shared" si="7"/>
        <v>Standard</v>
      </c>
    </row>
    <row r="150" spans="1:16">
      <c r="A150" s="17" t="s">
        <v>163</v>
      </c>
      <c r="B150" s="17">
        <v>154</v>
      </c>
      <c r="C150" s="17">
        <v>28</v>
      </c>
      <c r="D150" s="18">
        <v>46037.4840277778</v>
      </c>
      <c r="E150" s="17">
        <v>2999</v>
      </c>
      <c r="F150" s="17" t="s">
        <v>15</v>
      </c>
      <c r="G150" s="17" t="s">
        <v>10</v>
      </c>
      <c r="H150" s="17">
        <v>88</v>
      </c>
      <c r="I150" s="17" t="str">
        <f>IFERROR(VLOOKUP(C150,Merchants!$A$2:$D$41,2,FALSE),"Merchant not found")</f>
        <v>Merchant_028</v>
      </c>
      <c r="J150" s="17" t="str">
        <f>IFERROR(VLOOKUP(C150,Merchants!$A$2:$D$41,3,FALSE),"Merchant not found")</f>
        <v>ecommerce</v>
      </c>
      <c r="K150" s="17" t="str">
        <f>IFERROR(VLOOKUP(C150,Merchants!$A$2:$D$41,4,FALSE),"Merchant not found")</f>
        <v>South</v>
      </c>
      <c r="L150" s="19">
        <f>_xlfn.IFNA(HLOOKUP(F150,'MDR Rates'!$C$1:$F$2,2,FALSE),"N/A")</f>
        <v>0.015</v>
      </c>
      <c r="M150" s="20">
        <f t="shared" si="6"/>
        <v>46037</v>
      </c>
      <c r="N150" s="17">
        <f t="shared" si="8"/>
        <v>2999</v>
      </c>
      <c r="O150" s="17">
        <f>GETPIVOTDATA("amount_inr",'Pivot Table'!$A$3,"merchant_name",I150,"Date",M150)</f>
        <v>2999</v>
      </c>
      <c r="P150" s="17" t="str">
        <f t="shared" si="7"/>
        <v>Standard</v>
      </c>
    </row>
    <row r="151" spans="1:16">
      <c r="A151" s="17" t="s">
        <v>164</v>
      </c>
      <c r="B151" s="17">
        <v>155</v>
      </c>
      <c r="C151" s="17">
        <v>13</v>
      </c>
      <c r="D151" s="18">
        <v>46031.6208333333</v>
      </c>
      <c r="E151" s="17">
        <v>149</v>
      </c>
      <c r="F151" s="17" t="s">
        <v>12</v>
      </c>
      <c r="G151" s="17" t="s">
        <v>10</v>
      </c>
      <c r="H151" s="17">
        <v>49</v>
      </c>
      <c r="I151" s="17" t="str">
        <f>IFERROR(VLOOKUP(C151,Merchants!$A$2:$D$41,2,FALSE),"Merchant not found")</f>
        <v>Merchant_013</v>
      </c>
      <c r="J151" s="17" t="str">
        <f>IFERROR(VLOOKUP(C151,Merchants!$A$2:$D$41,3,FALSE),"Merchant not found")</f>
        <v>travel</v>
      </c>
      <c r="K151" s="17" t="str">
        <f>IFERROR(VLOOKUP(C151,Merchants!$A$2:$D$41,4,FALSE),"Merchant not found")</f>
        <v>East</v>
      </c>
      <c r="L151" s="19">
        <f>_xlfn.IFNA(HLOOKUP(F151,'MDR Rates'!$C$1:$F$2,2,FALSE),"N/A")</f>
        <v>0</v>
      </c>
      <c r="M151" s="20">
        <f t="shared" si="6"/>
        <v>46031</v>
      </c>
      <c r="N151" s="17">
        <f t="shared" si="8"/>
        <v>198</v>
      </c>
      <c r="O151" s="17">
        <f>GETPIVOTDATA("amount_inr",'Pivot Table'!$A$3,"merchant_name",I151,"Date",M151)</f>
        <v>198</v>
      </c>
      <c r="P151" s="17" t="str">
        <f t="shared" si="7"/>
        <v>Standard</v>
      </c>
    </row>
    <row r="152" spans="1:16">
      <c r="A152" s="17" t="s">
        <v>165</v>
      </c>
      <c r="B152" s="17">
        <v>122</v>
      </c>
      <c r="C152" s="17">
        <v>25</v>
      </c>
      <c r="D152" s="18">
        <v>46050.6291666667</v>
      </c>
      <c r="E152" s="17">
        <v>299</v>
      </c>
      <c r="F152" s="17" t="s">
        <v>12</v>
      </c>
      <c r="G152" s="17" t="s">
        <v>10</v>
      </c>
      <c r="H152" s="17">
        <v>73</v>
      </c>
      <c r="I152" s="17" t="str">
        <f>IFERROR(VLOOKUP(C152,Merchants!$A$2:$D$41,2,FALSE),"Merchant not found")</f>
        <v>Merchant_025</v>
      </c>
      <c r="J152" s="17" t="str">
        <f>IFERROR(VLOOKUP(C152,Merchants!$A$2:$D$41,3,FALSE),"Merchant not found")</f>
        <v>travel</v>
      </c>
      <c r="K152" s="17" t="str">
        <f>IFERROR(VLOOKUP(C152,Merchants!$A$2:$D$41,4,FALSE),"Merchant not found")</f>
        <v>South</v>
      </c>
      <c r="L152" s="19">
        <f>_xlfn.IFNA(HLOOKUP(F152,'MDR Rates'!$C$1:$F$2,2,FALSE),"N/A")</f>
        <v>0</v>
      </c>
      <c r="M152" s="20">
        <f t="shared" si="6"/>
        <v>46050</v>
      </c>
      <c r="N152" s="17">
        <f t="shared" si="8"/>
        <v>299</v>
      </c>
      <c r="O152" s="17">
        <f>GETPIVOTDATA("amount_inr",'Pivot Table'!$A$3,"merchant_name",I152,"Date",M152)</f>
        <v>299</v>
      </c>
      <c r="P152" s="17" t="str">
        <f t="shared" si="7"/>
        <v>Standard</v>
      </c>
    </row>
    <row r="153" spans="1:16">
      <c r="A153" s="17" t="s">
        <v>166</v>
      </c>
      <c r="B153" s="17">
        <v>152</v>
      </c>
      <c r="C153" s="17">
        <v>2</v>
      </c>
      <c r="D153" s="18">
        <v>46034.7625</v>
      </c>
      <c r="E153" s="17">
        <v>49</v>
      </c>
      <c r="F153" s="17" t="s">
        <v>12</v>
      </c>
      <c r="G153" s="17" t="s">
        <v>10</v>
      </c>
      <c r="H153" s="17">
        <v>84</v>
      </c>
      <c r="I153" s="17" t="str">
        <f>IFERROR(VLOOKUP(C153,Merchants!$A$2:$D$41,2,FALSE),"Merchant not found")</f>
        <v>Merchant_002</v>
      </c>
      <c r="J153" s="17" t="str">
        <f>IFERROR(VLOOKUP(C153,Merchants!$A$2:$D$41,3,FALSE),"Merchant not found")</f>
        <v>grocery</v>
      </c>
      <c r="K153" s="17" t="str">
        <f>IFERROR(VLOOKUP(C153,Merchants!$A$2:$D$41,4,FALSE),"Merchant not found")</f>
        <v>West</v>
      </c>
      <c r="L153" s="19">
        <f>_xlfn.IFNA(HLOOKUP(F153,'MDR Rates'!$C$1:$F$2,2,FALSE),"N/A")</f>
        <v>0</v>
      </c>
      <c r="M153" s="20">
        <f t="shared" si="6"/>
        <v>46034</v>
      </c>
      <c r="N153" s="17">
        <f t="shared" si="8"/>
        <v>348</v>
      </c>
      <c r="O153" s="17">
        <f>GETPIVOTDATA("amount_inr",'Pivot Table'!$A$3,"merchant_name",I153,"Date",M153)</f>
        <v>348</v>
      </c>
      <c r="P153" s="17" t="str">
        <f t="shared" si="7"/>
        <v>Standard</v>
      </c>
    </row>
    <row r="154" spans="1:16">
      <c r="A154" s="17" t="s">
        <v>167</v>
      </c>
      <c r="B154" s="17">
        <v>290</v>
      </c>
      <c r="C154" s="17">
        <v>4</v>
      </c>
      <c r="D154" s="18">
        <v>46035.3333333333</v>
      </c>
      <c r="E154" s="17">
        <v>149</v>
      </c>
      <c r="F154" s="17" t="s">
        <v>12</v>
      </c>
      <c r="G154" s="17" t="s">
        <v>10</v>
      </c>
      <c r="H154" s="17">
        <v>77</v>
      </c>
      <c r="I154" s="17" t="str">
        <f>IFERROR(VLOOKUP(C154,Merchants!$A$2:$D$41,2,FALSE),"Merchant not found")</f>
        <v>Merchant_004</v>
      </c>
      <c r="J154" s="17" t="str">
        <f>IFERROR(VLOOKUP(C154,Merchants!$A$2:$D$41,3,FALSE),"Merchant not found")</f>
        <v>ecommerce</v>
      </c>
      <c r="K154" s="17" t="str">
        <f>IFERROR(VLOOKUP(C154,Merchants!$A$2:$D$41,4,FALSE),"Merchant not found")</f>
        <v>East</v>
      </c>
      <c r="L154" s="19">
        <f>_xlfn.IFNA(HLOOKUP(F154,'MDR Rates'!$C$1:$F$2,2,FALSE),"N/A")</f>
        <v>0</v>
      </c>
      <c r="M154" s="20">
        <f t="shared" si="6"/>
        <v>46035</v>
      </c>
      <c r="N154" s="17">
        <f t="shared" si="8"/>
        <v>948</v>
      </c>
      <c r="O154" s="17">
        <f>GETPIVOTDATA("amount_inr",'Pivot Table'!$A$3,"merchant_name",I154,"Date",M154)</f>
        <v>948</v>
      </c>
      <c r="P154" s="17" t="str">
        <f t="shared" si="7"/>
        <v>Standard</v>
      </c>
    </row>
    <row r="155" spans="1:16">
      <c r="A155" s="17" t="s">
        <v>168</v>
      </c>
      <c r="B155" s="17">
        <v>147</v>
      </c>
      <c r="C155" s="17">
        <v>15</v>
      </c>
      <c r="D155" s="18">
        <v>46046.6618055556</v>
      </c>
      <c r="E155" s="17">
        <v>49</v>
      </c>
      <c r="F155" s="17" t="s">
        <v>9</v>
      </c>
      <c r="G155" s="17" t="s">
        <v>10</v>
      </c>
      <c r="H155" s="17">
        <v>77</v>
      </c>
      <c r="I155" s="17" t="str">
        <f>IFERROR(VLOOKUP(C155,Merchants!$A$2:$D$41,2,FALSE),"Merchant not found")</f>
        <v>Merchant_015</v>
      </c>
      <c r="J155" s="17" t="str">
        <f>IFERROR(VLOOKUP(C155,Merchants!$A$2:$D$41,3,FALSE),"Merchant not found")</f>
        <v>travel</v>
      </c>
      <c r="K155" s="17" t="str">
        <f>IFERROR(VLOOKUP(C155,Merchants!$A$2:$D$41,4,FALSE),"Merchant not found")</f>
        <v>North</v>
      </c>
      <c r="L155" s="19">
        <f>_xlfn.IFNA(HLOOKUP(F155,'MDR Rates'!$C$1:$F$2,2,FALSE),"N/A")</f>
        <v>0.01</v>
      </c>
      <c r="M155" s="20">
        <f t="shared" si="6"/>
        <v>46046</v>
      </c>
      <c r="N155" s="17">
        <f t="shared" si="8"/>
        <v>148</v>
      </c>
      <c r="O155" s="17">
        <f>GETPIVOTDATA("amount_inr",'Pivot Table'!$A$3,"merchant_name",I155,"Date",M155)</f>
        <v>148</v>
      </c>
      <c r="P155" s="17" t="str">
        <f t="shared" si="7"/>
        <v>Standard</v>
      </c>
    </row>
    <row r="156" spans="1:16">
      <c r="A156" s="17" t="s">
        <v>169</v>
      </c>
      <c r="B156" s="17">
        <v>326</v>
      </c>
      <c r="C156" s="17">
        <v>13</v>
      </c>
      <c r="D156" s="18">
        <v>46048.4680555556</v>
      </c>
      <c r="E156" s="17">
        <v>299</v>
      </c>
      <c r="F156" s="17" t="s">
        <v>15</v>
      </c>
      <c r="G156" s="17" t="s">
        <v>10</v>
      </c>
      <c r="H156" s="17">
        <v>79</v>
      </c>
      <c r="I156" s="17" t="str">
        <f>IFERROR(VLOOKUP(C156,Merchants!$A$2:$D$41,2,FALSE),"Merchant not found")</f>
        <v>Merchant_013</v>
      </c>
      <c r="J156" s="17" t="str">
        <f>IFERROR(VLOOKUP(C156,Merchants!$A$2:$D$41,3,FALSE),"Merchant not found")</f>
        <v>travel</v>
      </c>
      <c r="K156" s="17" t="str">
        <f>IFERROR(VLOOKUP(C156,Merchants!$A$2:$D$41,4,FALSE),"Merchant not found")</f>
        <v>East</v>
      </c>
      <c r="L156" s="19">
        <f>_xlfn.IFNA(HLOOKUP(F156,'MDR Rates'!$C$1:$F$2,2,FALSE),"N/A")</f>
        <v>0.015</v>
      </c>
      <c r="M156" s="20">
        <f t="shared" si="6"/>
        <v>46048</v>
      </c>
      <c r="N156" s="17">
        <f t="shared" si="8"/>
        <v>299</v>
      </c>
      <c r="O156" s="17">
        <f>GETPIVOTDATA("amount_inr",'Pivot Table'!$A$3,"merchant_name",I156,"Date",M156)</f>
        <v>299</v>
      </c>
      <c r="P156" s="17" t="str">
        <f t="shared" si="7"/>
        <v>Standard</v>
      </c>
    </row>
    <row r="157" spans="1:16">
      <c r="A157" s="17" t="s">
        <v>170</v>
      </c>
      <c r="B157" s="17">
        <v>338</v>
      </c>
      <c r="C157" s="17">
        <v>9</v>
      </c>
      <c r="D157" s="18">
        <v>46031.9083333333</v>
      </c>
      <c r="E157" s="17">
        <v>99</v>
      </c>
      <c r="F157" s="17" t="s">
        <v>24</v>
      </c>
      <c r="G157" s="17" t="s">
        <v>10</v>
      </c>
      <c r="H157" s="17">
        <v>80</v>
      </c>
      <c r="I157" s="17" t="str">
        <f>IFERROR(VLOOKUP(C157,Merchants!$A$2:$D$41,2,FALSE),"Merchant not found")</f>
        <v>Merchant_009</v>
      </c>
      <c r="J157" s="17" t="str">
        <f>IFERROR(VLOOKUP(C157,Merchants!$A$2:$D$41,3,FALSE),"Merchant not found")</f>
        <v>ecommerce</v>
      </c>
      <c r="K157" s="17" t="str">
        <f>IFERROR(VLOOKUP(C157,Merchants!$A$2:$D$41,4,FALSE),"Merchant not found")</f>
        <v>North</v>
      </c>
      <c r="L157" s="19">
        <f>_xlfn.IFNA(HLOOKUP(F157,'MDR Rates'!$C$1:$F$2,2,FALSE),"N/A")</f>
        <v>0.02</v>
      </c>
      <c r="M157" s="20">
        <f t="shared" si="6"/>
        <v>46031</v>
      </c>
      <c r="N157" s="17">
        <f t="shared" si="8"/>
        <v>99</v>
      </c>
      <c r="O157" s="17">
        <f>GETPIVOTDATA("amount_inr",'Pivot Table'!$A$3,"merchant_name",I157,"Date",M157)</f>
        <v>99</v>
      </c>
      <c r="P157" s="17" t="str">
        <f t="shared" si="7"/>
        <v>Standard</v>
      </c>
    </row>
    <row r="158" spans="1:16">
      <c r="A158" s="17" t="s">
        <v>171</v>
      </c>
      <c r="B158" s="17">
        <v>21</v>
      </c>
      <c r="C158" s="17">
        <v>20</v>
      </c>
      <c r="D158" s="18">
        <v>46026.8618055556</v>
      </c>
      <c r="E158" s="17">
        <v>2999</v>
      </c>
      <c r="F158" s="17" t="s">
        <v>12</v>
      </c>
      <c r="G158" s="17" t="s">
        <v>10</v>
      </c>
      <c r="H158" s="17">
        <v>100</v>
      </c>
      <c r="I158" s="17" t="str">
        <f>IFERROR(VLOOKUP(C158,Merchants!$A$2:$D$41,2,FALSE),"Merchant not found")</f>
        <v>Merchant_020</v>
      </c>
      <c r="J158" s="17" t="str">
        <f>IFERROR(VLOOKUP(C158,Merchants!$A$2:$D$41,3,FALSE),"Merchant not found")</f>
        <v>food_delivery</v>
      </c>
      <c r="K158" s="17" t="str">
        <f>IFERROR(VLOOKUP(C158,Merchants!$A$2:$D$41,4,FALSE),"Merchant not found")</f>
        <v>East</v>
      </c>
      <c r="L158" s="19">
        <f>_xlfn.IFNA(HLOOKUP(F158,'MDR Rates'!$C$1:$F$2,2,FALSE),"N/A")</f>
        <v>0</v>
      </c>
      <c r="M158" s="20">
        <f t="shared" si="6"/>
        <v>46026</v>
      </c>
      <c r="N158" s="17">
        <f t="shared" si="8"/>
        <v>2999</v>
      </c>
      <c r="O158" s="17">
        <f>GETPIVOTDATA("amount_inr",'Pivot Table'!$A$3,"merchant_name",I158,"Date",M158)</f>
        <v>2999</v>
      </c>
      <c r="P158" s="17" t="str">
        <f t="shared" si="7"/>
        <v>Standard</v>
      </c>
    </row>
    <row r="159" spans="1:16">
      <c r="A159" s="17" t="s">
        <v>172</v>
      </c>
      <c r="B159" s="17">
        <v>187</v>
      </c>
      <c r="C159" s="17">
        <v>9</v>
      </c>
      <c r="D159" s="18">
        <v>46037.0673611111</v>
      </c>
      <c r="E159" s="17">
        <v>49</v>
      </c>
      <c r="F159" s="17" t="s">
        <v>24</v>
      </c>
      <c r="G159" s="17" t="s">
        <v>25</v>
      </c>
      <c r="H159" s="17">
        <v>11</v>
      </c>
      <c r="I159" s="17" t="str">
        <f>IFERROR(VLOOKUP(C159,Merchants!$A$2:$D$41,2,FALSE),"Merchant not found")</f>
        <v>Merchant_009</v>
      </c>
      <c r="J159" s="17" t="str">
        <f>IFERROR(VLOOKUP(C159,Merchants!$A$2:$D$41,3,FALSE),"Merchant not found")</f>
        <v>ecommerce</v>
      </c>
      <c r="K159" s="17" t="str">
        <f>IFERROR(VLOOKUP(C159,Merchants!$A$2:$D$41,4,FALSE),"Merchant not found")</f>
        <v>North</v>
      </c>
      <c r="L159" s="19">
        <f>_xlfn.IFNA(HLOOKUP(F159,'MDR Rates'!$C$1:$F$2,2,FALSE),"N/A")</f>
        <v>0.02</v>
      </c>
      <c r="M159" s="20">
        <f t="shared" si="6"/>
        <v>46037</v>
      </c>
      <c r="N159" s="17">
        <f t="shared" si="8"/>
        <v>148</v>
      </c>
      <c r="O159" s="17">
        <f>GETPIVOTDATA("amount_inr",'Pivot Table'!$A$3,"merchant_name",I159,"Date",M159)</f>
        <v>148</v>
      </c>
      <c r="P159" s="17" t="str">
        <f t="shared" si="7"/>
        <v>Standard</v>
      </c>
    </row>
    <row r="160" spans="1:16">
      <c r="A160" s="17" t="s">
        <v>173</v>
      </c>
      <c r="B160" s="17">
        <v>213</v>
      </c>
      <c r="C160" s="17">
        <v>12</v>
      </c>
      <c r="D160" s="18">
        <v>46052.3888888889</v>
      </c>
      <c r="E160" s="17">
        <v>4999</v>
      </c>
      <c r="F160" s="17" t="s">
        <v>12</v>
      </c>
      <c r="G160" s="17" t="s">
        <v>10</v>
      </c>
      <c r="H160" s="17">
        <v>25</v>
      </c>
      <c r="I160" s="17" t="str">
        <f>IFERROR(VLOOKUP(C160,Merchants!$A$2:$D$41,2,FALSE),"Merchant not found")</f>
        <v>Merchant_012</v>
      </c>
      <c r="J160" s="17" t="str">
        <f>IFERROR(VLOOKUP(C160,Merchants!$A$2:$D$41,3,FALSE),"Merchant not found")</f>
        <v>ecommerce</v>
      </c>
      <c r="K160" s="17" t="str">
        <f>IFERROR(VLOOKUP(C160,Merchants!$A$2:$D$41,4,FALSE),"Merchant not found")</f>
        <v>East</v>
      </c>
      <c r="L160" s="19">
        <f>_xlfn.IFNA(HLOOKUP(F160,'MDR Rates'!$C$1:$F$2,2,FALSE),"N/A")</f>
        <v>0</v>
      </c>
      <c r="M160" s="20">
        <f t="shared" si="6"/>
        <v>46052</v>
      </c>
      <c r="N160" s="17">
        <f t="shared" si="8"/>
        <v>4999</v>
      </c>
      <c r="O160" s="17">
        <f>GETPIVOTDATA("amount_inr",'Pivot Table'!$A$3,"merchant_name",I160,"Date",M160)</f>
        <v>4999</v>
      </c>
      <c r="P160" s="17" t="str">
        <f t="shared" si="7"/>
        <v>Standard</v>
      </c>
    </row>
    <row r="161" spans="1:16">
      <c r="A161" s="17" t="s">
        <v>174</v>
      </c>
      <c r="B161" s="17">
        <v>188</v>
      </c>
      <c r="C161" s="17">
        <v>34</v>
      </c>
      <c r="D161" s="18">
        <v>46027.7472222222</v>
      </c>
      <c r="E161" s="17">
        <v>2999</v>
      </c>
      <c r="F161" s="17" t="s">
        <v>12</v>
      </c>
      <c r="G161" s="17" t="s">
        <v>10</v>
      </c>
      <c r="H161" s="17">
        <v>64</v>
      </c>
      <c r="I161" s="17" t="str">
        <f>IFERROR(VLOOKUP(C161,Merchants!$A$2:$D$41,2,FALSE),"Merchant not found")</f>
        <v>Merchant_034</v>
      </c>
      <c r="J161" s="17" t="str">
        <f>IFERROR(VLOOKUP(C161,Merchants!$A$2:$D$41,3,FALSE),"Merchant not found")</f>
        <v>travel</v>
      </c>
      <c r="K161" s="17" t="str">
        <f>IFERROR(VLOOKUP(C161,Merchants!$A$2:$D$41,4,FALSE),"Merchant not found")</f>
        <v>South</v>
      </c>
      <c r="L161" s="19">
        <f>_xlfn.IFNA(HLOOKUP(F161,'MDR Rates'!$C$1:$F$2,2,FALSE),"N/A")</f>
        <v>0</v>
      </c>
      <c r="M161" s="20">
        <f t="shared" si="6"/>
        <v>46027</v>
      </c>
      <c r="N161" s="17">
        <f t="shared" si="8"/>
        <v>2999</v>
      </c>
      <c r="O161" s="17">
        <f>GETPIVOTDATA("amount_inr",'Pivot Table'!$A$3,"merchant_name",I161,"Date",M161)</f>
        <v>2999</v>
      </c>
      <c r="P161" s="17" t="str">
        <f t="shared" si="7"/>
        <v>Standard</v>
      </c>
    </row>
    <row r="162" spans="1:16">
      <c r="A162" s="17" t="s">
        <v>175</v>
      </c>
      <c r="B162" s="17">
        <v>85</v>
      </c>
      <c r="C162" s="17">
        <v>17</v>
      </c>
      <c r="D162" s="18">
        <v>46052.3701388889</v>
      </c>
      <c r="E162" s="17">
        <v>499</v>
      </c>
      <c r="F162" s="17" t="s">
        <v>12</v>
      </c>
      <c r="G162" s="17" t="s">
        <v>10</v>
      </c>
      <c r="H162" s="17">
        <v>61</v>
      </c>
      <c r="I162" s="17" t="str">
        <f>IFERROR(VLOOKUP(C162,Merchants!$A$2:$D$41,2,FALSE),"Merchant not found")</f>
        <v>Merchant_017</v>
      </c>
      <c r="J162" s="17" t="str">
        <f>IFERROR(VLOOKUP(C162,Merchants!$A$2:$D$41,3,FALSE),"Merchant not found")</f>
        <v>grocery</v>
      </c>
      <c r="K162" s="17" t="str">
        <f>IFERROR(VLOOKUP(C162,Merchants!$A$2:$D$41,4,FALSE),"Merchant not found")</f>
        <v>North</v>
      </c>
      <c r="L162" s="19">
        <f>_xlfn.IFNA(HLOOKUP(F162,'MDR Rates'!$C$1:$F$2,2,FALSE),"N/A")</f>
        <v>0</v>
      </c>
      <c r="M162" s="20">
        <f t="shared" si="6"/>
        <v>46052</v>
      </c>
      <c r="N162" s="17">
        <f t="shared" si="8"/>
        <v>499</v>
      </c>
      <c r="O162" s="17">
        <f>GETPIVOTDATA("amount_inr",'Pivot Table'!$A$3,"merchant_name",I162,"Date",M162)</f>
        <v>499</v>
      </c>
      <c r="P162" s="17" t="str">
        <f t="shared" si="7"/>
        <v>Standard</v>
      </c>
    </row>
    <row r="163" spans="1:16">
      <c r="A163" s="17" t="s">
        <v>176</v>
      </c>
      <c r="B163" s="17">
        <v>174</v>
      </c>
      <c r="C163" s="17">
        <v>8</v>
      </c>
      <c r="D163" s="18">
        <v>46048.4076388889</v>
      </c>
      <c r="E163" s="17">
        <v>299</v>
      </c>
      <c r="F163" s="17" t="s">
        <v>15</v>
      </c>
      <c r="G163" s="17" t="s">
        <v>10</v>
      </c>
      <c r="H163" s="17">
        <v>59</v>
      </c>
      <c r="I163" s="17" t="str">
        <f>IFERROR(VLOOKUP(C163,Merchants!$A$2:$D$41,2,FALSE),"Merchant not found")</f>
        <v>Merchant_008</v>
      </c>
      <c r="J163" s="17" t="str">
        <f>IFERROR(VLOOKUP(C163,Merchants!$A$2:$D$41,3,FALSE),"Merchant not found")</f>
        <v>food_delivery</v>
      </c>
      <c r="K163" s="17" t="str">
        <f>IFERROR(VLOOKUP(C163,Merchants!$A$2:$D$41,4,FALSE),"Merchant not found")</f>
        <v>North</v>
      </c>
      <c r="L163" s="19">
        <f>_xlfn.IFNA(HLOOKUP(F163,'MDR Rates'!$C$1:$F$2,2,FALSE),"N/A")</f>
        <v>0.015</v>
      </c>
      <c r="M163" s="20">
        <f t="shared" si="6"/>
        <v>46048</v>
      </c>
      <c r="N163" s="17">
        <f t="shared" si="8"/>
        <v>598</v>
      </c>
      <c r="O163" s="17">
        <f>GETPIVOTDATA("amount_inr",'Pivot Table'!$A$3,"merchant_name",I163,"Date",M163)</f>
        <v>598</v>
      </c>
      <c r="P163" s="17" t="str">
        <f t="shared" si="7"/>
        <v>Standard</v>
      </c>
    </row>
    <row r="164" spans="1:16">
      <c r="A164" s="17" t="s">
        <v>177</v>
      </c>
      <c r="B164" s="17">
        <v>116</v>
      </c>
      <c r="C164" s="17">
        <v>26</v>
      </c>
      <c r="D164" s="18">
        <v>46025.2</v>
      </c>
      <c r="E164" s="17">
        <v>99</v>
      </c>
      <c r="F164" s="17" t="s">
        <v>15</v>
      </c>
      <c r="G164" s="17" t="s">
        <v>10</v>
      </c>
      <c r="H164" s="17">
        <v>71</v>
      </c>
      <c r="I164" s="17" t="str">
        <f>IFERROR(VLOOKUP(C164,Merchants!$A$2:$D$41,2,FALSE),"Merchant not found")</f>
        <v>Merchant_026</v>
      </c>
      <c r="J164" s="17" t="str">
        <f>IFERROR(VLOOKUP(C164,Merchants!$A$2:$D$41,3,FALSE),"Merchant not found")</f>
        <v>food_delivery</v>
      </c>
      <c r="K164" s="17" t="str">
        <f>IFERROR(VLOOKUP(C164,Merchants!$A$2:$D$41,4,FALSE),"Merchant not found")</f>
        <v>East</v>
      </c>
      <c r="L164" s="19">
        <f>_xlfn.IFNA(HLOOKUP(F164,'MDR Rates'!$C$1:$F$2,2,FALSE),"N/A")</f>
        <v>0.015</v>
      </c>
      <c r="M164" s="20">
        <f t="shared" si="6"/>
        <v>46025</v>
      </c>
      <c r="N164" s="17">
        <f t="shared" si="8"/>
        <v>99</v>
      </c>
      <c r="O164" s="17">
        <f>GETPIVOTDATA("amount_inr",'Pivot Table'!$A$3,"merchant_name",I164,"Date",M164)</f>
        <v>99</v>
      </c>
      <c r="P164" s="17" t="str">
        <f t="shared" si="7"/>
        <v>Standard</v>
      </c>
    </row>
    <row r="165" spans="1:16">
      <c r="A165" s="17" t="s">
        <v>178</v>
      </c>
      <c r="B165" s="17">
        <v>203</v>
      </c>
      <c r="C165" s="17">
        <v>1</v>
      </c>
      <c r="D165" s="18">
        <v>46034.1180555556</v>
      </c>
      <c r="E165" s="17">
        <v>149</v>
      </c>
      <c r="F165" s="17" t="s">
        <v>9</v>
      </c>
      <c r="G165" s="17" t="s">
        <v>10</v>
      </c>
      <c r="H165" s="17">
        <v>33</v>
      </c>
      <c r="I165" s="17" t="str">
        <f>IFERROR(VLOOKUP(C165,Merchants!$A$2:$D$41,2,FALSE),"Merchant not found")</f>
        <v>Merchant_001</v>
      </c>
      <c r="J165" s="17" t="str">
        <f>IFERROR(VLOOKUP(C165,Merchants!$A$2:$D$41,3,FALSE),"Merchant not found")</f>
        <v>ecommerce</v>
      </c>
      <c r="K165" s="17" t="str">
        <f>IFERROR(VLOOKUP(C165,Merchants!$A$2:$D$41,4,FALSE),"Merchant not found")</f>
        <v>South</v>
      </c>
      <c r="L165" s="19">
        <f>_xlfn.IFNA(HLOOKUP(F165,'MDR Rates'!$C$1:$F$2,2,FALSE),"N/A")</f>
        <v>0.01</v>
      </c>
      <c r="M165" s="20">
        <f t="shared" si="6"/>
        <v>46034</v>
      </c>
      <c r="N165" s="17">
        <f t="shared" si="8"/>
        <v>149</v>
      </c>
      <c r="O165" s="17">
        <f>GETPIVOTDATA("amount_inr",'Pivot Table'!$A$3,"merchant_name",I165,"Date",M165)</f>
        <v>149</v>
      </c>
      <c r="P165" s="17" t="str">
        <f t="shared" si="7"/>
        <v>Standard</v>
      </c>
    </row>
    <row r="166" spans="1:16">
      <c r="A166" s="17" t="s">
        <v>179</v>
      </c>
      <c r="B166" s="17">
        <v>189</v>
      </c>
      <c r="C166" s="17">
        <v>17</v>
      </c>
      <c r="D166" s="18">
        <v>46040.1451388889</v>
      </c>
      <c r="E166" s="17">
        <v>99</v>
      </c>
      <c r="F166" s="17" t="s">
        <v>12</v>
      </c>
      <c r="G166" s="17" t="s">
        <v>10</v>
      </c>
      <c r="H166" s="17">
        <v>74</v>
      </c>
      <c r="I166" s="17" t="str">
        <f>IFERROR(VLOOKUP(C166,Merchants!$A$2:$D$41,2,FALSE),"Merchant not found")</f>
        <v>Merchant_017</v>
      </c>
      <c r="J166" s="17" t="str">
        <f>IFERROR(VLOOKUP(C166,Merchants!$A$2:$D$41,3,FALSE),"Merchant not found")</f>
        <v>grocery</v>
      </c>
      <c r="K166" s="17" t="str">
        <f>IFERROR(VLOOKUP(C166,Merchants!$A$2:$D$41,4,FALSE),"Merchant not found")</f>
        <v>North</v>
      </c>
      <c r="L166" s="19">
        <f>_xlfn.IFNA(HLOOKUP(F166,'MDR Rates'!$C$1:$F$2,2,FALSE),"N/A")</f>
        <v>0</v>
      </c>
      <c r="M166" s="20">
        <f t="shared" si="6"/>
        <v>46040</v>
      </c>
      <c r="N166" s="17">
        <f t="shared" si="8"/>
        <v>198</v>
      </c>
      <c r="O166" s="17">
        <f>GETPIVOTDATA("amount_inr",'Pivot Table'!$A$3,"merchant_name",I166,"Date",M166)</f>
        <v>198</v>
      </c>
      <c r="P166" s="17" t="str">
        <f t="shared" si="7"/>
        <v>Standard</v>
      </c>
    </row>
    <row r="167" spans="1:16">
      <c r="A167" s="17" t="s">
        <v>180</v>
      </c>
      <c r="B167" s="17">
        <v>56</v>
      </c>
      <c r="C167" s="17">
        <v>15</v>
      </c>
      <c r="D167" s="18">
        <v>46035.8493055556</v>
      </c>
      <c r="E167" s="17">
        <v>299</v>
      </c>
      <c r="F167" s="17" t="s">
        <v>12</v>
      </c>
      <c r="G167" s="17" t="s">
        <v>10</v>
      </c>
      <c r="H167" s="17">
        <v>60</v>
      </c>
      <c r="I167" s="17" t="str">
        <f>IFERROR(VLOOKUP(C167,Merchants!$A$2:$D$41,2,FALSE),"Merchant not found")</f>
        <v>Merchant_015</v>
      </c>
      <c r="J167" s="17" t="str">
        <f>IFERROR(VLOOKUP(C167,Merchants!$A$2:$D$41,3,FALSE),"Merchant not found")</f>
        <v>travel</v>
      </c>
      <c r="K167" s="17" t="str">
        <f>IFERROR(VLOOKUP(C167,Merchants!$A$2:$D$41,4,FALSE),"Merchant not found")</f>
        <v>North</v>
      </c>
      <c r="L167" s="19">
        <f>_xlfn.IFNA(HLOOKUP(F167,'MDR Rates'!$C$1:$F$2,2,FALSE),"N/A")</f>
        <v>0</v>
      </c>
      <c r="M167" s="20">
        <f t="shared" si="6"/>
        <v>46035</v>
      </c>
      <c r="N167" s="17">
        <f t="shared" si="8"/>
        <v>299</v>
      </c>
      <c r="O167" s="17">
        <f>GETPIVOTDATA("amount_inr",'Pivot Table'!$A$3,"merchant_name",I167,"Date",M167)</f>
        <v>299</v>
      </c>
      <c r="P167" s="17" t="str">
        <f t="shared" si="7"/>
        <v>Standard</v>
      </c>
    </row>
    <row r="168" spans="1:16">
      <c r="A168" s="17" t="s">
        <v>181</v>
      </c>
      <c r="B168" s="17">
        <v>288</v>
      </c>
      <c r="C168" s="17">
        <v>21</v>
      </c>
      <c r="D168" s="18">
        <v>46023.8305555556</v>
      </c>
      <c r="E168" s="17">
        <v>4999</v>
      </c>
      <c r="F168" s="17" t="s">
        <v>9</v>
      </c>
      <c r="G168" s="17" t="s">
        <v>25</v>
      </c>
      <c r="H168" s="17">
        <v>78</v>
      </c>
      <c r="I168" s="17" t="str">
        <f>IFERROR(VLOOKUP(C168,Merchants!$A$2:$D$41,2,FALSE),"Merchant not found")</f>
        <v>Merchant_021</v>
      </c>
      <c r="J168" s="17" t="str">
        <f>IFERROR(VLOOKUP(C168,Merchants!$A$2:$D$41,3,FALSE),"Merchant not found")</f>
        <v>food_delivery</v>
      </c>
      <c r="K168" s="17" t="str">
        <f>IFERROR(VLOOKUP(C168,Merchants!$A$2:$D$41,4,FALSE),"Merchant not found")</f>
        <v>East</v>
      </c>
      <c r="L168" s="19">
        <f>_xlfn.IFNA(HLOOKUP(F168,'MDR Rates'!$C$1:$F$2,2,FALSE),"N/A")</f>
        <v>0.01</v>
      </c>
      <c r="M168" s="20">
        <f t="shared" si="6"/>
        <v>46023</v>
      </c>
      <c r="N168" s="17">
        <f t="shared" si="8"/>
        <v>5298</v>
      </c>
      <c r="O168" s="17">
        <f>GETPIVOTDATA("amount_inr",'Pivot Table'!$A$3,"merchant_name",I168,"Date",M168)</f>
        <v>5298</v>
      </c>
      <c r="P168" s="17" t="str">
        <f t="shared" si="7"/>
        <v>Standard</v>
      </c>
    </row>
    <row r="169" spans="1:16">
      <c r="A169" s="17" t="s">
        <v>182</v>
      </c>
      <c r="B169" s="17">
        <v>326</v>
      </c>
      <c r="C169" s="17">
        <v>30</v>
      </c>
      <c r="D169" s="18">
        <v>46030.8361111111</v>
      </c>
      <c r="E169" s="17">
        <v>99</v>
      </c>
      <c r="F169" s="17" t="s">
        <v>24</v>
      </c>
      <c r="G169" s="17" t="s">
        <v>10</v>
      </c>
      <c r="H169" s="17">
        <v>89</v>
      </c>
      <c r="I169" s="17" t="str">
        <f>IFERROR(VLOOKUP(C169,Merchants!$A$2:$D$41,2,FALSE),"Merchant not found")</f>
        <v>Merchant_030</v>
      </c>
      <c r="J169" s="17" t="str">
        <f>IFERROR(VLOOKUP(C169,Merchants!$A$2:$D$41,3,FALSE),"Merchant not found")</f>
        <v>travel</v>
      </c>
      <c r="K169" s="17" t="str">
        <f>IFERROR(VLOOKUP(C169,Merchants!$A$2:$D$41,4,FALSE),"Merchant not found")</f>
        <v>West</v>
      </c>
      <c r="L169" s="19">
        <f>_xlfn.IFNA(HLOOKUP(F169,'MDR Rates'!$C$1:$F$2,2,FALSE),"N/A")</f>
        <v>0.02</v>
      </c>
      <c r="M169" s="20">
        <f t="shared" si="6"/>
        <v>46030</v>
      </c>
      <c r="N169" s="17">
        <f t="shared" si="8"/>
        <v>1197</v>
      </c>
      <c r="O169" s="17">
        <f>GETPIVOTDATA("amount_inr",'Pivot Table'!$A$3,"merchant_name",I169,"Date",M169)</f>
        <v>1197</v>
      </c>
      <c r="P169" s="17" t="str">
        <f t="shared" si="7"/>
        <v>Standard</v>
      </c>
    </row>
    <row r="170" spans="1:16">
      <c r="A170" s="17" t="s">
        <v>183</v>
      </c>
      <c r="B170" s="17">
        <v>60</v>
      </c>
      <c r="C170" s="17">
        <v>9</v>
      </c>
      <c r="D170" s="18">
        <v>46032.8513888889</v>
      </c>
      <c r="E170" s="17">
        <v>49</v>
      </c>
      <c r="F170" s="17" t="s">
        <v>15</v>
      </c>
      <c r="G170" s="17" t="s">
        <v>10</v>
      </c>
      <c r="H170" s="17">
        <v>5</v>
      </c>
      <c r="I170" s="17" t="str">
        <f>IFERROR(VLOOKUP(C170,Merchants!$A$2:$D$41,2,FALSE),"Merchant not found")</f>
        <v>Merchant_009</v>
      </c>
      <c r="J170" s="17" t="str">
        <f>IFERROR(VLOOKUP(C170,Merchants!$A$2:$D$41,3,FALSE),"Merchant not found")</f>
        <v>ecommerce</v>
      </c>
      <c r="K170" s="17" t="str">
        <f>IFERROR(VLOOKUP(C170,Merchants!$A$2:$D$41,4,FALSE),"Merchant not found")</f>
        <v>North</v>
      </c>
      <c r="L170" s="19">
        <f>_xlfn.IFNA(HLOOKUP(F170,'MDR Rates'!$C$1:$F$2,2,FALSE),"N/A")</f>
        <v>0.015</v>
      </c>
      <c r="M170" s="20">
        <f t="shared" si="6"/>
        <v>46032</v>
      </c>
      <c r="N170" s="17">
        <f t="shared" si="8"/>
        <v>49</v>
      </c>
      <c r="O170" s="17">
        <f>GETPIVOTDATA("amount_inr",'Pivot Table'!$A$3,"merchant_name",I170,"Date",M170)</f>
        <v>49</v>
      </c>
      <c r="P170" s="17" t="str">
        <f t="shared" si="7"/>
        <v>Standard</v>
      </c>
    </row>
    <row r="171" spans="1:16">
      <c r="A171" s="17" t="s">
        <v>184</v>
      </c>
      <c r="B171" s="17">
        <v>60</v>
      </c>
      <c r="C171" s="17">
        <v>7</v>
      </c>
      <c r="D171" s="18">
        <v>46024.3965277778</v>
      </c>
      <c r="E171" s="17">
        <v>2999</v>
      </c>
      <c r="F171" s="17" t="s">
        <v>9</v>
      </c>
      <c r="G171" s="17" t="s">
        <v>10</v>
      </c>
      <c r="H171" s="17">
        <v>30</v>
      </c>
      <c r="I171" s="17" t="str">
        <f>IFERROR(VLOOKUP(C171,Merchants!$A$2:$D$41,2,FALSE),"Merchant not found")</f>
        <v>Merchant_007</v>
      </c>
      <c r="J171" s="17" t="str">
        <f>IFERROR(VLOOKUP(C171,Merchants!$A$2:$D$41,3,FALSE),"Merchant not found")</f>
        <v>food_delivery</v>
      </c>
      <c r="K171" s="17" t="str">
        <f>IFERROR(VLOOKUP(C171,Merchants!$A$2:$D$41,4,FALSE),"Merchant not found")</f>
        <v>East</v>
      </c>
      <c r="L171" s="19">
        <f>_xlfn.IFNA(HLOOKUP(F171,'MDR Rates'!$C$1:$F$2,2,FALSE),"N/A")</f>
        <v>0.01</v>
      </c>
      <c r="M171" s="20">
        <f t="shared" si="6"/>
        <v>46024</v>
      </c>
      <c r="N171" s="17">
        <f t="shared" si="8"/>
        <v>3797</v>
      </c>
      <c r="O171" s="17">
        <f>GETPIVOTDATA("amount_inr",'Pivot Table'!$A$3,"merchant_name",I171,"Date",M171)</f>
        <v>3797</v>
      </c>
      <c r="P171" s="17" t="str">
        <f t="shared" si="7"/>
        <v>Standard</v>
      </c>
    </row>
    <row r="172" spans="1:16">
      <c r="A172" s="17" t="s">
        <v>185</v>
      </c>
      <c r="B172" s="17">
        <v>199</v>
      </c>
      <c r="C172" s="17">
        <v>30</v>
      </c>
      <c r="D172" s="18">
        <v>46051.7138888889</v>
      </c>
      <c r="E172" s="17">
        <v>149</v>
      </c>
      <c r="F172" s="17" t="s">
        <v>15</v>
      </c>
      <c r="G172" s="17" t="s">
        <v>10</v>
      </c>
      <c r="H172" s="17">
        <v>47</v>
      </c>
      <c r="I172" s="17" t="str">
        <f>IFERROR(VLOOKUP(C172,Merchants!$A$2:$D$41,2,FALSE),"Merchant not found")</f>
        <v>Merchant_030</v>
      </c>
      <c r="J172" s="17" t="str">
        <f>IFERROR(VLOOKUP(C172,Merchants!$A$2:$D$41,3,FALSE),"Merchant not found")</f>
        <v>travel</v>
      </c>
      <c r="K172" s="17" t="str">
        <f>IFERROR(VLOOKUP(C172,Merchants!$A$2:$D$41,4,FALSE),"Merchant not found")</f>
        <v>West</v>
      </c>
      <c r="L172" s="19">
        <f>_xlfn.IFNA(HLOOKUP(F172,'MDR Rates'!$C$1:$F$2,2,FALSE),"N/A")</f>
        <v>0.015</v>
      </c>
      <c r="M172" s="20">
        <f t="shared" si="6"/>
        <v>46051</v>
      </c>
      <c r="N172" s="17">
        <f t="shared" si="8"/>
        <v>149</v>
      </c>
      <c r="O172" s="17">
        <f>GETPIVOTDATA("amount_inr",'Pivot Table'!$A$3,"merchant_name",I172,"Date",M172)</f>
        <v>149</v>
      </c>
      <c r="P172" s="17" t="str">
        <f t="shared" si="7"/>
        <v>Standard</v>
      </c>
    </row>
    <row r="173" spans="1:16">
      <c r="A173" s="17" t="s">
        <v>186</v>
      </c>
      <c r="B173" s="17">
        <v>277</v>
      </c>
      <c r="C173" s="17">
        <v>27</v>
      </c>
      <c r="D173" s="18">
        <v>46044.9888888889</v>
      </c>
      <c r="E173" s="17">
        <v>49</v>
      </c>
      <c r="F173" s="17" t="s">
        <v>12</v>
      </c>
      <c r="G173" s="17" t="s">
        <v>10</v>
      </c>
      <c r="H173" s="17">
        <v>75</v>
      </c>
      <c r="I173" s="17" t="str">
        <f>IFERROR(VLOOKUP(C173,Merchants!$A$2:$D$41,2,FALSE),"Merchant not found")</f>
        <v>Merchant_027</v>
      </c>
      <c r="J173" s="17" t="str">
        <f>IFERROR(VLOOKUP(C173,Merchants!$A$2:$D$41,3,FALSE),"Merchant not found")</f>
        <v>ecommerce</v>
      </c>
      <c r="K173" s="17" t="str">
        <f>IFERROR(VLOOKUP(C173,Merchants!$A$2:$D$41,4,FALSE),"Merchant not found")</f>
        <v>North</v>
      </c>
      <c r="L173" s="19">
        <f>_xlfn.IFNA(HLOOKUP(F173,'MDR Rates'!$C$1:$F$2,2,FALSE),"N/A")</f>
        <v>0</v>
      </c>
      <c r="M173" s="20">
        <f t="shared" si="6"/>
        <v>46044</v>
      </c>
      <c r="N173" s="17">
        <f t="shared" si="8"/>
        <v>49</v>
      </c>
      <c r="O173" s="17">
        <f>GETPIVOTDATA("amount_inr",'Pivot Table'!$A$3,"merchant_name",I173,"Date",M173)</f>
        <v>49</v>
      </c>
      <c r="P173" s="17" t="str">
        <f t="shared" si="7"/>
        <v>Standard</v>
      </c>
    </row>
    <row r="174" spans="1:16">
      <c r="A174" s="17" t="s">
        <v>187</v>
      </c>
      <c r="B174" s="17">
        <v>213</v>
      </c>
      <c r="C174" s="17">
        <v>7</v>
      </c>
      <c r="D174" s="18">
        <v>46046.9645833333</v>
      </c>
      <c r="E174" s="17">
        <v>799</v>
      </c>
      <c r="F174" s="17" t="s">
        <v>15</v>
      </c>
      <c r="G174" s="17" t="s">
        <v>10</v>
      </c>
      <c r="H174" s="17">
        <v>62</v>
      </c>
      <c r="I174" s="17" t="str">
        <f>IFERROR(VLOOKUP(C174,Merchants!$A$2:$D$41,2,FALSE),"Merchant not found")</f>
        <v>Merchant_007</v>
      </c>
      <c r="J174" s="17" t="str">
        <f>IFERROR(VLOOKUP(C174,Merchants!$A$2:$D$41,3,FALSE),"Merchant not found")</f>
        <v>food_delivery</v>
      </c>
      <c r="K174" s="17" t="str">
        <f>IFERROR(VLOOKUP(C174,Merchants!$A$2:$D$41,4,FALSE),"Merchant not found")</f>
        <v>East</v>
      </c>
      <c r="L174" s="19">
        <f>_xlfn.IFNA(HLOOKUP(F174,'MDR Rates'!$C$1:$F$2,2,FALSE),"N/A")</f>
        <v>0.015</v>
      </c>
      <c r="M174" s="20">
        <f t="shared" si="6"/>
        <v>46046</v>
      </c>
      <c r="N174" s="17">
        <f t="shared" si="8"/>
        <v>1298</v>
      </c>
      <c r="O174" s="17">
        <f>GETPIVOTDATA("amount_inr",'Pivot Table'!$A$3,"merchant_name",I174,"Date",M174)</f>
        <v>1298</v>
      </c>
      <c r="P174" s="17" t="str">
        <f t="shared" si="7"/>
        <v>Standard</v>
      </c>
    </row>
    <row r="175" spans="1:16">
      <c r="A175" s="17" t="s">
        <v>188</v>
      </c>
      <c r="B175" s="17">
        <v>17</v>
      </c>
      <c r="C175" s="17">
        <v>24</v>
      </c>
      <c r="D175" s="18">
        <v>46042.5534722222</v>
      </c>
      <c r="E175" s="17">
        <v>299</v>
      </c>
      <c r="F175" s="17" t="s">
        <v>12</v>
      </c>
      <c r="G175" s="17" t="s">
        <v>10</v>
      </c>
      <c r="H175" s="17">
        <v>27</v>
      </c>
      <c r="I175" s="17" t="str">
        <f>IFERROR(VLOOKUP(C175,Merchants!$A$2:$D$41,2,FALSE),"Merchant not found")</f>
        <v>Merchant_024</v>
      </c>
      <c r="J175" s="17" t="str">
        <f>IFERROR(VLOOKUP(C175,Merchants!$A$2:$D$41,3,FALSE),"Merchant not found")</f>
        <v>grocery</v>
      </c>
      <c r="K175" s="17" t="str">
        <f>IFERROR(VLOOKUP(C175,Merchants!$A$2:$D$41,4,FALSE),"Merchant not found")</f>
        <v>North</v>
      </c>
      <c r="L175" s="19">
        <f>_xlfn.IFNA(HLOOKUP(F175,'MDR Rates'!$C$1:$F$2,2,FALSE),"N/A")</f>
        <v>0</v>
      </c>
      <c r="M175" s="20">
        <f t="shared" si="6"/>
        <v>46042</v>
      </c>
      <c r="N175" s="17">
        <f t="shared" si="8"/>
        <v>299</v>
      </c>
      <c r="O175" s="17">
        <f>GETPIVOTDATA("amount_inr",'Pivot Table'!$A$3,"merchant_name",I175,"Date",M175)</f>
        <v>299</v>
      </c>
      <c r="P175" s="17" t="str">
        <f t="shared" si="7"/>
        <v>Standard</v>
      </c>
    </row>
    <row r="176" spans="1:16">
      <c r="A176" s="17" t="s">
        <v>189</v>
      </c>
      <c r="B176" s="17">
        <v>186</v>
      </c>
      <c r="C176" s="17">
        <v>7</v>
      </c>
      <c r="D176" s="18">
        <v>46037.59375</v>
      </c>
      <c r="E176" s="17">
        <v>1499</v>
      </c>
      <c r="F176" s="17" t="s">
        <v>24</v>
      </c>
      <c r="G176" s="17" t="s">
        <v>25</v>
      </c>
      <c r="H176" s="17">
        <v>87</v>
      </c>
      <c r="I176" s="17" t="str">
        <f>IFERROR(VLOOKUP(C176,Merchants!$A$2:$D$41,2,FALSE),"Merchant not found")</f>
        <v>Merchant_007</v>
      </c>
      <c r="J176" s="17" t="str">
        <f>IFERROR(VLOOKUP(C176,Merchants!$A$2:$D$41,3,FALSE),"Merchant not found")</f>
        <v>food_delivery</v>
      </c>
      <c r="K176" s="17" t="str">
        <f>IFERROR(VLOOKUP(C176,Merchants!$A$2:$D$41,4,FALSE),"Merchant not found")</f>
        <v>East</v>
      </c>
      <c r="L176" s="19">
        <f>_xlfn.IFNA(HLOOKUP(F176,'MDR Rates'!$C$1:$F$2,2,FALSE),"N/A")</f>
        <v>0.02</v>
      </c>
      <c r="M176" s="20">
        <f t="shared" si="6"/>
        <v>46037</v>
      </c>
      <c r="N176" s="17">
        <f t="shared" si="8"/>
        <v>1648</v>
      </c>
      <c r="O176" s="17">
        <f>GETPIVOTDATA("amount_inr",'Pivot Table'!$A$3,"merchant_name",I176,"Date",M176)</f>
        <v>1648</v>
      </c>
      <c r="P176" s="17" t="str">
        <f t="shared" si="7"/>
        <v>Standard</v>
      </c>
    </row>
    <row r="177" spans="1:16">
      <c r="A177" s="17" t="s">
        <v>190</v>
      </c>
      <c r="B177" s="17">
        <v>331</v>
      </c>
      <c r="C177" s="17">
        <v>23</v>
      </c>
      <c r="D177" s="18">
        <v>46034.7479166667</v>
      </c>
      <c r="E177" s="17">
        <v>149</v>
      </c>
      <c r="F177" s="17" t="s">
        <v>12</v>
      </c>
      <c r="G177" s="17" t="s">
        <v>10</v>
      </c>
      <c r="H177" s="17">
        <v>7</v>
      </c>
      <c r="I177" s="17" t="str">
        <f>IFERROR(VLOOKUP(C177,Merchants!$A$2:$D$41,2,FALSE),"Merchant not found")</f>
        <v>Merchant_023</v>
      </c>
      <c r="J177" s="17" t="str">
        <f>IFERROR(VLOOKUP(C177,Merchants!$A$2:$D$41,3,FALSE),"Merchant not found")</f>
        <v>travel</v>
      </c>
      <c r="K177" s="17" t="str">
        <f>IFERROR(VLOOKUP(C177,Merchants!$A$2:$D$41,4,FALSE),"Merchant not found")</f>
        <v>North</v>
      </c>
      <c r="L177" s="19">
        <f>_xlfn.IFNA(HLOOKUP(F177,'MDR Rates'!$C$1:$F$2,2,FALSE),"N/A")</f>
        <v>0</v>
      </c>
      <c r="M177" s="20">
        <f t="shared" si="6"/>
        <v>46034</v>
      </c>
      <c r="N177" s="17">
        <f t="shared" si="8"/>
        <v>149</v>
      </c>
      <c r="O177" s="17">
        <f>GETPIVOTDATA("amount_inr",'Pivot Table'!$A$3,"merchant_name",I177,"Date",M177)</f>
        <v>149</v>
      </c>
      <c r="P177" s="17" t="str">
        <f t="shared" si="7"/>
        <v>Standard</v>
      </c>
    </row>
    <row r="178" spans="1:16">
      <c r="A178" s="17" t="s">
        <v>191</v>
      </c>
      <c r="B178" s="17">
        <v>63</v>
      </c>
      <c r="C178" s="17">
        <v>30</v>
      </c>
      <c r="D178" s="18">
        <v>46035.3416666667</v>
      </c>
      <c r="E178" s="17">
        <v>1499</v>
      </c>
      <c r="F178" s="17" t="s">
        <v>24</v>
      </c>
      <c r="G178" s="17" t="s">
        <v>10</v>
      </c>
      <c r="H178" s="17">
        <v>11</v>
      </c>
      <c r="I178" s="17" t="str">
        <f>IFERROR(VLOOKUP(C178,Merchants!$A$2:$D$41,2,FALSE),"Merchant not found")</f>
        <v>Merchant_030</v>
      </c>
      <c r="J178" s="17" t="str">
        <f>IFERROR(VLOOKUP(C178,Merchants!$A$2:$D$41,3,FALSE),"Merchant not found")</f>
        <v>travel</v>
      </c>
      <c r="K178" s="17" t="str">
        <f>IFERROR(VLOOKUP(C178,Merchants!$A$2:$D$41,4,FALSE),"Merchant not found")</f>
        <v>West</v>
      </c>
      <c r="L178" s="19">
        <f>_xlfn.IFNA(HLOOKUP(F178,'MDR Rates'!$C$1:$F$2,2,FALSE),"N/A")</f>
        <v>0.02</v>
      </c>
      <c r="M178" s="20">
        <f t="shared" si="6"/>
        <v>46035</v>
      </c>
      <c r="N178" s="17">
        <f t="shared" si="8"/>
        <v>1499</v>
      </c>
      <c r="O178" s="17">
        <f>GETPIVOTDATA("amount_inr",'Pivot Table'!$A$3,"merchant_name",I178,"Date",M178)</f>
        <v>1499</v>
      </c>
      <c r="P178" s="17" t="str">
        <f t="shared" si="7"/>
        <v>Standard</v>
      </c>
    </row>
    <row r="179" spans="1:16">
      <c r="A179" s="17" t="s">
        <v>192</v>
      </c>
      <c r="B179" s="17">
        <v>328</v>
      </c>
      <c r="C179" s="17">
        <v>39</v>
      </c>
      <c r="D179" s="18">
        <v>46044.2784722222</v>
      </c>
      <c r="E179" s="17">
        <v>4999</v>
      </c>
      <c r="F179" s="17" t="s">
        <v>9</v>
      </c>
      <c r="G179" s="17" t="s">
        <v>38</v>
      </c>
      <c r="H179" s="17">
        <v>2</v>
      </c>
      <c r="I179" s="17" t="str">
        <f>IFERROR(VLOOKUP(C179,Merchants!$A$2:$D$41,2,FALSE),"Merchant not found")</f>
        <v>Merchant_039</v>
      </c>
      <c r="J179" s="17" t="str">
        <f>IFERROR(VLOOKUP(C179,Merchants!$A$2:$D$41,3,FALSE),"Merchant not found")</f>
        <v>entertainment</v>
      </c>
      <c r="K179" s="17" t="str">
        <f>IFERROR(VLOOKUP(C179,Merchants!$A$2:$D$41,4,FALSE),"Merchant not found")</f>
        <v>North</v>
      </c>
      <c r="L179" s="19">
        <f>_xlfn.IFNA(HLOOKUP(F179,'MDR Rates'!$C$1:$F$2,2,FALSE),"N/A")</f>
        <v>0.01</v>
      </c>
      <c r="M179" s="20">
        <f t="shared" si="6"/>
        <v>46044</v>
      </c>
      <c r="N179" s="17">
        <f t="shared" si="8"/>
        <v>9796</v>
      </c>
      <c r="O179" s="17">
        <f>GETPIVOTDATA("amount_inr",'Pivot Table'!$A$3,"merchant_name",I179,"Date",M179)</f>
        <v>9796</v>
      </c>
      <c r="P179" s="17" t="str">
        <f t="shared" si="7"/>
        <v>High-Value Merchant Day</v>
      </c>
    </row>
    <row r="180" spans="1:16">
      <c r="A180" s="17" t="s">
        <v>193</v>
      </c>
      <c r="B180" s="17">
        <v>65</v>
      </c>
      <c r="C180" s="17">
        <v>37</v>
      </c>
      <c r="D180" s="18">
        <v>46024.4270833333</v>
      </c>
      <c r="E180" s="17">
        <v>2999</v>
      </c>
      <c r="F180" s="17" t="s">
        <v>24</v>
      </c>
      <c r="G180" s="17" t="s">
        <v>10</v>
      </c>
      <c r="H180" s="17">
        <v>26</v>
      </c>
      <c r="I180" s="17" t="str">
        <f>IFERROR(VLOOKUP(C180,Merchants!$A$2:$D$41,2,FALSE),"Merchant not found")</f>
        <v>Merchant_037</v>
      </c>
      <c r="J180" s="17" t="str">
        <f>IFERROR(VLOOKUP(C180,Merchants!$A$2:$D$41,3,FALSE),"Merchant not found")</f>
        <v>entertainment</v>
      </c>
      <c r="K180" s="17" t="str">
        <f>IFERROR(VLOOKUP(C180,Merchants!$A$2:$D$41,4,FALSE),"Merchant not found")</f>
        <v>South</v>
      </c>
      <c r="L180" s="19">
        <f>_xlfn.IFNA(HLOOKUP(F180,'MDR Rates'!$C$1:$F$2,2,FALSE),"N/A")</f>
        <v>0.02</v>
      </c>
      <c r="M180" s="20">
        <f t="shared" si="6"/>
        <v>46024</v>
      </c>
      <c r="N180" s="17">
        <f t="shared" si="8"/>
        <v>2999</v>
      </c>
      <c r="O180" s="17">
        <f>GETPIVOTDATA("amount_inr",'Pivot Table'!$A$3,"merchant_name",I180,"Date",M180)</f>
        <v>2999</v>
      </c>
      <c r="P180" s="17" t="str">
        <f t="shared" si="7"/>
        <v>Standard</v>
      </c>
    </row>
    <row r="181" spans="1:16">
      <c r="A181" s="17" t="s">
        <v>194</v>
      </c>
      <c r="B181" s="17">
        <v>301</v>
      </c>
      <c r="C181" s="17">
        <v>14</v>
      </c>
      <c r="D181" s="18">
        <v>46025.7173611111</v>
      </c>
      <c r="E181" s="17">
        <v>149</v>
      </c>
      <c r="F181" s="17" t="s">
        <v>12</v>
      </c>
      <c r="G181" s="17" t="s">
        <v>10</v>
      </c>
      <c r="H181" s="17">
        <v>29</v>
      </c>
      <c r="I181" s="17" t="str">
        <f>IFERROR(VLOOKUP(C181,Merchants!$A$2:$D$41,2,FALSE),"Merchant not found")</f>
        <v>Merchant_014</v>
      </c>
      <c r="J181" s="17" t="str">
        <f>IFERROR(VLOOKUP(C181,Merchants!$A$2:$D$41,3,FALSE),"Merchant not found")</f>
        <v>grocery</v>
      </c>
      <c r="K181" s="17" t="str">
        <f>IFERROR(VLOOKUP(C181,Merchants!$A$2:$D$41,4,FALSE),"Merchant not found")</f>
        <v>East</v>
      </c>
      <c r="L181" s="19">
        <f>_xlfn.IFNA(HLOOKUP(F181,'MDR Rates'!$C$1:$F$2,2,FALSE),"N/A")</f>
        <v>0</v>
      </c>
      <c r="M181" s="20">
        <f t="shared" si="6"/>
        <v>46025</v>
      </c>
      <c r="N181" s="17">
        <f t="shared" si="8"/>
        <v>149</v>
      </c>
      <c r="O181" s="17">
        <f>GETPIVOTDATA("amount_inr",'Pivot Table'!$A$3,"merchant_name",I181,"Date",M181)</f>
        <v>149</v>
      </c>
      <c r="P181" s="17" t="str">
        <f t="shared" si="7"/>
        <v>Standard</v>
      </c>
    </row>
    <row r="182" spans="1:16">
      <c r="A182" s="17" t="s">
        <v>195</v>
      </c>
      <c r="B182" s="17">
        <v>306</v>
      </c>
      <c r="C182" s="17">
        <v>1</v>
      </c>
      <c r="D182" s="18">
        <v>46033.2013888889</v>
      </c>
      <c r="E182" s="17">
        <v>299</v>
      </c>
      <c r="F182" s="17" t="s">
        <v>12</v>
      </c>
      <c r="G182" s="17" t="s">
        <v>25</v>
      </c>
      <c r="H182" s="17">
        <v>35</v>
      </c>
      <c r="I182" s="17" t="str">
        <f>IFERROR(VLOOKUP(C182,Merchants!$A$2:$D$41,2,FALSE),"Merchant not found")</f>
        <v>Merchant_001</v>
      </c>
      <c r="J182" s="17" t="str">
        <f>IFERROR(VLOOKUP(C182,Merchants!$A$2:$D$41,3,FALSE),"Merchant not found")</f>
        <v>ecommerce</v>
      </c>
      <c r="K182" s="17" t="str">
        <f>IFERROR(VLOOKUP(C182,Merchants!$A$2:$D$41,4,FALSE),"Merchant not found")</f>
        <v>South</v>
      </c>
      <c r="L182" s="19">
        <f>_xlfn.IFNA(HLOOKUP(F182,'MDR Rates'!$C$1:$F$2,2,FALSE),"N/A")</f>
        <v>0</v>
      </c>
      <c r="M182" s="20">
        <f t="shared" si="6"/>
        <v>46033</v>
      </c>
      <c r="N182" s="17">
        <f t="shared" si="8"/>
        <v>299</v>
      </c>
      <c r="O182" s="17">
        <f>GETPIVOTDATA("amount_inr",'Pivot Table'!$A$3,"merchant_name",I182,"Date",M182)</f>
        <v>299</v>
      </c>
      <c r="P182" s="17" t="str">
        <f t="shared" si="7"/>
        <v>Standard</v>
      </c>
    </row>
    <row r="183" spans="1:16">
      <c r="A183" s="17" t="s">
        <v>196</v>
      </c>
      <c r="B183" s="17">
        <v>277</v>
      </c>
      <c r="C183" s="17">
        <v>17</v>
      </c>
      <c r="D183" s="18">
        <v>46050.1722222222</v>
      </c>
      <c r="E183" s="17">
        <v>299</v>
      </c>
      <c r="F183" s="17" t="s">
        <v>12</v>
      </c>
      <c r="G183" s="17" t="s">
        <v>10</v>
      </c>
      <c r="H183" s="17">
        <v>22</v>
      </c>
      <c r="I183" s="17" t="str">
        <f>IFERROR(VLOOKUP(C183,Merchants!$A$2:$D$41,2,FALSE),"Merchant not found")</f>
        <v>Merchant_017</v>
      </c>
      <c r="J183" s="17" t="str">
        <f>IFERROR(VLOOKUP(C183,Merchants!$A$2:$D$41,3,FALSE),"Merchant not found")</f>
        <v>grocery</v>
      </c>
      <c r="K183" s="17" t="str">
        <f>IFERROR(VLOOKUP(C183,Merchants!$A$2:$D$41,4,FALSE),"Merchant not found")</f>
        <v>North</v>
      </c>
      <c r="L183" s="19">
        <f>_xlfn.IFNA(HLOOKUP(F183,'MDR Rates'!$C$1:$F$2,2,FALSE),"N/A")</f>
        <v>0</v>
      </c>
      <c r="M183" s="20">
        <f t="shared" si="6"/>
        <v>46050</v>
      </c>
      <c r="N183" s="17">
        <f t="shared" si="8"/>
        <v>299</v>
      </c>
      <c r="O183" s="17">
        <f>GETPIVOTDATA("amount_inr",'Pivot Table'!$A$3,"merchant_name",I183,"Date",M183)</f>
        <v>299</v>
      </c>
      <c r="P183" s="17" t="str">
        <f t="shared" si="7"/>
        <v>Standard</v>
      </c>
    </row>
    <row r="184" spans="1:16">
      <c r="A184" s="17" t="s">
        <v>197</v>
      </c>
      <c r="B184" s="17">
        <v>14</v>
      </c>
      <c r="C184" s="17">
        <v>9</v>
      </c>
      <c r="D184" s="18">
        <v>46026.9131944444</v>
      </c>
      <c r="E184" s="17">
        <v>499</v>
      </c>
      <c r="F184" s="17" t="s">
        <v>12</v>
      </c>
      <c r="G184" s="17" t="s">
        <v>10</v>
      </c>
      <c r="H184" s="17">
        <v>1</v>
      </c>
      <c r="I184" s="17" t="str">
        <f>IFERROR(VLOOKUP(C184,Merchants!$A$2:$D$41,2,FALSE),"Merchant not found")</f>
        <v>Merchant_009</v>
      </c>
      <c r="J184" s="17" t="str">
        <f>IFERROR(VLOOKUP(C184,Merchants!$A$2:$D$41,3,FALSE),"Merchant not found")</f>
        <v>ecommerce</v>
      </c>
      <c r="K184" s="17" t="str">
        <f>IFERROR(VLOOKUP(C184,Merchants!$A$2:$D$41,4,FALSE),"Merchant not found")</f>
        <v>North</v>
      </c>
      <c r="L184" s="19">
        <f>_xlfn.IFNA(HLOOKUP(F184,'MDR Rates'!$C$1:$F$2,2,FALSE),"N/A")</f>
        <v>0</v>
      </c>
      <c r="M184" s="20">
        <f t="shared" si="6"/>
        <v>46026</v>
      </c>
      <c r="N184" s="17">
        <f t="shared" si="8"/>
        <v>499</v>
      </c>
      <c r="O184" s="17">
        <f>GETPIVOTDATA("amount_inr",'Pivot Table'!$A$3,"merchant_name",I184,"Date",M184)</f>
        <v>499</v>
      </c>
      <c r="P184" s="17" t="str">
        <f t="shared" si="7"/>
        <v>Standard</v>
      </c>
    </row>
    <row r="185" spans="1:16">
      <c r="A185" s="17" t="s">
        <v>198</v>
      </c>
      <c r="B185" s="17">
        <v>166</v>
      </c>
      <c r="C185" s="17">
        <v>2</v>
      </c>
      <c r="D185" s="18">
        <v>46034.3173611111</v>
      </c>
      <c r="E185" s="17">
        <v>299</v>
      </c>
      <c r="F185" s="17" t="s">
        <v>24</v>
      </c>
      <c r="G185" s="17" t="s">
        <v>10</v>
      </c>
      <c r="H185" s="17">
        <v>22</v>
      </c>
      <c r="I185" s="17" t="str">
        <f>IFERROR(VLOOKUP(C185,Merchants!$A$2:$D$41,2,FALSE),"Merchant not found")</f>
        <v>Merchant_002</v>
      </c>
      <c r="J185" s="17" t="str">
        <f>IFERROR(VLOOKUP(C185,Merchants!$A$2:$D$41,3,FALSE),"Merchant not found")</f>
        <v>grocery</v>
      </c>
      <c r="K185" s="17" t="str">
        <f>IFERROR(VLOOKUP(C185,Merchants!$A$2:$D$41,4,FALSE),"Merchant not found")</f>
        <v>West</v>
      </c>
      <c r="L185" s="19">
        <f>_xlfn.IFNA(HLOOKUP(F185,'MDR Rates'!$C$1:$F$2,2,FALSE),"N/A")</f>
        <v>0.02</v>
      </c>
      <c r="M185" s="20">
        <f t="shared" si="6"/>
        <v>46034</v>
      </c>
      <c r="N185" s="17">
        <f t="shared" si="8"/>
        <v>348</v>
      </c>
      <c r="O185" s="17">
        <f>GETPIVOTDATA("amount_inr",'Pivot Table'!$A$3,"merchant_name",I185,"Date",M185)</f>
        <v>348</v>
      </c>
      <c r="P185" s="17" t="str">
        <f t="shared" si="7"/>
        <v>Standard</v>
      </c>
    </row>
    <row r="186" spans="1:16">
      <c r="A186" s="17" t="s">
        <v>199</v>
      </c>
      <c r="B186" s="17">
        <v>216</v>
      </c>
      <c r="C186" s="17">
        <v>34</v>
      </c>
      <c r="D186" s="18">
        <v>46031.0472222222</v>
      </c>
      <c r="E186" s="17">
        <v>299</v>
      </c>
      <c r="F186" s="17" t="s">
        <v>24</v>
      </c>
      <c r="G186" s="17" t="s">
        <v>10</v>
      </c>
      <c r="H186" s="17">
        <v>14</v>
      </c>
      <c r="I186" s="17" t="str">
        <f>IFERROR(VLOOKUP(C186,Merchants!$A$2:$D$41,2,FALSE),"Merchant not found")</f>
        <v>Merchant_034</v>
      </c>
      <c r="J186" s="17" t="str">
        <f>IFERROR(VLOOKUP(C186,Merchants!$A$2:$D$41,3,FALSE),"Merchant not found")</f>
        <v>travel</v>
      </c>
      <c r="K186" s="17" t="str">
        <f>IFERROR(VLOOKUP(C186,Merchants!$A$2:$D$41,4,FALSE),"Merchant not found")</f>
        <v>South</v>
      </c>
      <c r="L186" s="19">
        <f>_xlfn.IFNA(HLOOKUP(F186,'MDR Rates'!$C$1:$F$2,2,FALSE),"N/A")</f>
        <v>0.02</v>
      </c>
      <c r="M186" s="20">
        <f t="shared" si="6"/>
        <v>46031</v>
      </c>
      <c r="N186" s="17">
        <f t="shared" si="8"/>
        <v>299</v>
      </c>
      <c r="O186" s="17">
        <f>GETPIVOTDATA("amount_inr",'Pivot Table'!$A$3,"merchant_name",I186,"Date",M186)</f>
        <v>299</v>
      </c>
      <c r="P186" s="17" t="str">
        <f t="shared" si="7"/>
        <v>Standard</v>
      </c>
    </row>
    <row r="187" spans="1:16">
      <c r="A187" s="17" t="s">
        <v>200</v>
      </c>
      <c r="B187" s="17">
        <v>230</v>
      </c>
      <c r="C187" s="17">
        <v>24</v>
      </c>
      <c r="D187" s="18">
        <v>46046.1041666667</v>
      </c>
      <c r="E187" s="17">
        <v>49</v>
      </c>
      <c r="F187" s="17" t="s">
        <v>12</v>
      </c>
      <c r="G187" s="17" t="s">
        <v>10</v>
      </c>
      <c r="H187" s="17">
        <v>65</v>
      </c>
      <c r="I187" s="17" t="str">
        <f>IFERROR(VLOOKUP(C187,Merchants!$A$2:$D$41,2,FALSE),"Merchant not found")</f>
        <v>Merchant_024</v>
      </c>
      <c r="J187" s="17" t="str">
        <f>IFERROR(VLOOKUP(C187,Merchants!$A$2:$D$41,3,FALSE),"Merchant not found")</f>
        <v>grocery</v>
      </c>
      <c r="K187" s="17" t="str">
        <f>IFERROR(VLOOKUP(C187,Merchants!$A$2:$D$41,4,FALSE),"Merchant not found")</f>
        <v>North</v>
      </c>
      <c r="L187" s="19">
        <f>_xlfn.IFNA(HLOOKUP(F187,'MDR Rates'!$C$1:$F$2,2,FALSE),"N/A")</f>
        <v>0</v>
      </c>
      <c r="M187" s="20">
        <f t="shared" si="6"/>
        <v>46046</v>
      </c>
      <c r="N187" s="17">
        <f t="shared" si="8"/>
        <v>148</v>
      </c>
      <c r="O187" s="17">
        <f>GETPIVOTDATA("amount_inr",'Pivot Table'!$A$3,"merchant_name",I187,"Date",M187)</f>
        <v>148</v>
      </c>
      <c r="P187" s="17" t="str">
        <f t="shared" si="7"/>
        <v>Standard</v>
      </c>
    </row>
    <row r="188" spans="1:16">
      <c r="A188" s="17" t="s">
        <v>201</v>
      </c>
      <c r="B188" s="17">
        <v>258</v>
      </c>
      <c r="C188" s="17">
        <v>15</v>
      </c>
      <c r="D188" s="18">
        <v>46041.1444444444</v>
      </c>
      <c r="E188" s="17">
        <v>499</v>
      </c>
      <c r="F188" s="17" t="s">
        <v>9</v>
      </c>
      <c r="G188" s="17" t="s">
        <v>10</v>
      </c>
      <c r="H188" s="17">
        <v>78</v>
      </c>
      <c r="I188" s="17" t="str">
        <f>IFERROR(VLOOKUP(C188,Merchants!$A$2:$D$41,2,FALSE),"Merchant not found")</f>
        <v>Merchant_015</v>
      </c>
      <c r="J188" s="17" t="str">
        <f>IFERROR(VLOOKUP(C188,Merchants!$A$2:$D$41,3,FALSE),"Merchant not found")</f>
        <v>travel</v>
      </c>
      <c r="K188" s="17" t="str">
        <f>IFERROR(VLOOKUP(C188,Merchants!$A$2:$D$41,4,FALSE),"Merchant not found")</f>
        <v>North</v>
      </c>
      <c r="L188" s="19">
        <f>_xlfn.IFNA(HLOOKUP(F188,'MDR Rates'!$C$1:$F$2,2,FALSE),"N/A")</f>
        <v>0.01</v>
      </c>
      <c r="M188" s="20">
        <f t="shared" si="6"/>
        <v>46041</v>
      </c>
      <c r="N188" s="17">
        <f t="shared" si="8"/>
        <v>499</v>
      </c>
      <c r="O188" s="17">
        <f>GETPIVOTDATA("amount_inr",'Pivot Table'!$A$3,"merchant_name",I188,"Date",M188)</f>
        <v>499</v>
      </c>
      <c r="P188" s="17" t="str">
        <f t="shared" si="7"/>
        <v>Standard</v>
      </c>
    </row>
    <row r="189" spans="1:16">
      <c r="A189" s="17" t="s">
        <v>202</v>
      </c>
      <c r="B189" s="17">
        <v>338</v>
      </c>
      <c r="C189" s="17">
        <v>34</v>
      </c>
      <c r="D189" s="18">
        <v>46024.9930555556</v>
      </c>
      <c r="E189" s="17">
        <v>49</v>
      </c>
      <c r="F189" s="17" t="s">
        <v>12</v>
      </c>
      <c r="G189" s="17" t="s">
        <v>10</v>
      </c>
      <c r="H189" s="17">
        <v>38</v>
      </c>
      <c r="I189" s="17" t="str">
        <f>IFERROR(VLOOKUP(C189,Merchants!$A$2:$D$41,2,FALSE),"Merchant not found")</f>
        <v>Merchant_034</v>
      </c>
      <c r="J189" s="17" t="str">
        <f>IFERROR(VLOOKUP(C189,Merchants!$A$2:$D$41,3,FALSE),"Merchant not found")</f>
        <v>travel</v>
      </c>
      <c r="K189" s="17" t="str">
        <f>IFERROR(VLOOKUP(C189,Merchants!$A$2:$D$41,4,FALSE),"Merchant not found")</f>
        <v>South</v>
      </c>
      <c r="L189" s="19">
        <f>_xlfn.IFNA(HLOOKUP(F189,'MDR Rates'!$C$1:$F$2,2,FALSE),"N/A")</f>
        <v>0</v>
      </c>
      <c r="M189" s="20">
        <f t="shared" si="6"/>
        <v>46024</v>
      </c>
      <c r="N189" s="17">
        <f t="shared" si="8"/>
        <v>548</v>
      </c>
      <c r="O189" s="17">
        <f>GETPIVOTDATA("amount_inr",'Pivot Table'!$A$3,"merchant_name",I189,"Date",M189)</f>
        <v>548</v>
      </c>
      <c r="P189" s="17" t="str">
        <f t="shared" si="7"/>
        <v>Standard</v>
      </c>
    </row>
    <row r="190" spans="1:16">
      <c r="A190" s="17" t="s">
        <v>203</v>
      </c>
      <c r="B190" s="17">
        <v>32</v>
      </c>
      <c r="C190" s="17">
        <v>31</v>
      </c>
      <c r="D190" s="18">
        <v>46037.8340277778</v>
      </c>
      <c r="E190" s="17">
        <v>299</v>
      </c>
      <c r="F190" s="17" t="s">
        <v>12</v>
      </c>
      <c r="G190" s="17" t="s">
        <v>10</v>
      </c>
      <c r="H190" s="17">
        <v>51</v>
      </c>
      <c r="I190" s="17" t="str">
        <f>IFERROR(VLOOKUP(C190,Merchants!$A$2:$D$41,2,FALSE),"Merchant not found")</f>
        <v>Merchant_031</v>
      </c>
      <c r="J190" s="17" t="str">
        <f>IFERROR(VLOOKUP(C190,Merchants!$A$2:$D$41,3,FALSE),"Merchant not found")</f>
        <v>bill_payment</v>
      </c>
      <c r="K190" s="17" t="str">
        <f>IFERROR(VLOOKUP(C190,Merchants!$A$2:$D$41,4,FALSE),"Merchant not found")</f>
        <v>East</v>
      </c>
      <c r="L190" s="19">
        <f>_xlfn.IFNA(HLOOKUP(F190,'MDR Rates'!$C$1:$F$2,2,FALSE),"N/A")</f>
        <v>0</v>
      </c>
      <c r="M190" s="20">
        <f t="shared" si="6"/>
        <v>46037</v>
      </c>
      <c r="N190" s="17">
        <f t="shared" si="8"/>
        <v>299</v>
      </c>
      <c r="O190" s="17">
        <f>GETPIVOTDATA("amount_inr",'Pivot Table'!$A$3,"merchant_name",I190,"Date",M190)</f>
        <v>299</v>
      </c>
      <c r="P190" s="17" t="str">
        <f t="shared" si="7"/>
        <v>Standard</v>
      </c>
    </row>
    <row r="191" spans="1:16">
      <c r="A191" s="17" t="s">
        <v>204</v>
      </c>
      <c r="B191" s="17">
        <v>252</v>
      </c>
      <c r="C191" s="17">
        <v>29</v>
      </c>
      <c r="D191" s="18">
        <v>46036.8791666667</v>
      </c>
      <c r="E191" s="17">
        <v>1499</v>
      </c>
      <c r="F191" s="17" t="s">
        <v>12</v>
      </c>
      <c r="G191" s="17" t="s">
        <v>10</v>
      </c>
      <c r="H191" s="17">
        <v>9</v>
      </c>
      <c r="I191" s="17" t="str">
        <f>IFERROR(VLOOKUP(C191,Merchants!$A$2:$D$41,2,FALSE),"Merchant not found")</f>
        <v>Merchant_029</v>
      </c>
      <c r="J191" s="17" t="str">
        <f>IFERROR(VLOOKUP(C191,Merchants!$A$2:$D$41,3,FALSE),"Merchant not found")</f>
        <v>ecommerce</v>
      </c>
      <c r="K191" s="17" t="str">
        <f>IFERROR(VLOOKUP(C191,Merchants!$A$2:$D$41,4,FALSE),"Merchant not found")</f>
        <v>North</v>
      </c>
      <c r="L191" s="19">
        <f>_xlfn.IFNA(HLOOKUP(F191,'MDR Rates'!$C$1:$F$2,2,FALSE),"N/A")</f>
        <v>0</v>
      </c>
      <c r="M191" s="20">
        <f t="shared" si="6"/>
        <v>46036</v>
      </c>
      <c r="N191" s="17">
        <f t="shared" si="8"/>
        <v>1998</v>
      </c>
      <c r="O191" s="17">
        <f>GETPIVOTDATA("amount_inr",'Pivot Table'!$A$3,"merchant_name",I191,"Date",M191)</f>
        <v>1998</v>
      </c>
      <c r="P191" s="17" t="str">
        <f t="shared" si="7"/>
        <v>Standard</v>
      </c>
    </row>
    <row r="192" spans="1:16">
      <c r="A192" s="17" t="s">
        <v>205</v>
      </c>
      <c r="B192" s="17">
        <v>312</v>
      </c>
      <c r="C192" s="17">
        <v>10</v>
      </c>
      <c r="D192" s="18">
        <v>46051.0972222222</v>
      </c>
      <c r="E192" s="17">
        <v>799</v>
      </c>
      <c r="F192" s="17" t="s">
        <v>12</v>
      </c>
      <c r="G192" s="17" t="s">
        <v>10</v>
      </c>
      <c r="H192" s="17">
        <v>8</v>
      </c>
      <c r="I192" s="17" t="str">
        <f>IFERROR(VLOOKUP(C192,Merchants!$A$2:$D$41,2,FALSE),"Merchant not found")</f>
        <v>Merchant_010</v>
      </c>
      <c r="J192" s="17" t="str">
        <f>IFERROR(VLOOKUP(C192,Merchants!$A$2:$D$41,3,FALSE),"Merchant not found")</f>
        <v>grocery</v>
      </c>
      <c r="K192" s="17" t="str">
        <f>IFERROR(VLOOKUP(C192,Merchants!$A$2:$D$41,4,FALSE),"Merchant not found")</f>
        <v>West</v>
      </c>
      <c r="L192" s="19">
        <f>_xlfn.IFNA(HLOOKUP(F192,'MDR Rates'!$C$1:$F$2,2,FALSE),"N/A")</f>
        <v>0</v>
      </c>
      <c r="M192" s="20">
        <f t="shared" si="6"/>
        <v>46051</v>
      </c>
      <c r="N192" s="17">
        <f t="shared" si="8"/>
        <v>799</v>
      </c>
      <c r="O192" s="17">
        <f>GETPIVOTDATA("amount_inr",'Pivot Table'!$A$3,"merchant_name",I192,"Date",M192)</f>
        <v>799</v>
      </c>
      <c r="P192" s="17" t="str">
        <f t="shared" si="7"/>
        <v>Standard</v>
      </c>
    </row>
    <row r="193" spans="1:16">
      <c r="A193" s="17" t="s">
        <v>206</v>
      </c>
      <c r="B193" s="17">
        <v>325</v>
      </c>
      <c r="C193" s="17">
        <v>38</v>
      </c>
      <c r="D193" s="18">
        <v>46027.3604166667</v>
      </c>
      <c r="E193" s="17">
        <v>1499</v>
      </c>
      <c r="F193" s="17" t="s">
        <v>15</v>
      </c>
      <c r="G193" s="17" t="s">
        <v>10</v>
      </c>
      <c r="H193" s="17">
        <v>70</v>
      </c>
      <c r="I193" s="17" t="str">
        <f>IFERROR(VLOOKUP(C193,Merchants!$A$2:$D$41,2,FALSE),"Merchant not found")</f>
        <v>Merchant_038</v>
      </c>
      <c r="J193" s="17" t="str">
        <f>IFERROR(VLOOKUP(C193,Merchants!$A$2:$D$41,3,FALSE),"Merchant not found")</f>
        <v>grocery</v>
      </c>
      <c r="K193" s="17" t="str">
        <f>IFERROR(VLOOKUP(C193,Merchants!$A$2:$D$41,4,FALSE),"Merchant not found")</f>
        <v>East</v>
      </c>
      <c r="L193" s="19">
        <f>_xlfn.IFNA(HLOOKUP(F193,'MDR Rates'!$C$1:$F$2,2,FALSE),"N/A")</f>
        <v>0.015</v>
      </c>
      <c r="M193" s="20">
        <f t="shared" si="6"/>
        <v>46027</v>
      </c>
      <c r="N193" s="17">
        <f t="shared" si="8"/>
        <v>1499</v>
      </c>
      <c r="O193" s="17">
        <f>GETPIVOTDATA("amount_inr",'Pivot Table'!$A$3,"merchant_name",I193,"Date",M193)</f>
        <v>1499</v>
      </c>
      <c r="P193" s="17" t="str">
        <f t="shared" si="7"/>
        <v>Standard</v>
      </c>
    </row>
    <row r="194" spans="1:16">
      <c r="A194" s="17" t="s">
        <v>207</v>
      </c>
      <c r="B194" s="17">
        <v>306</v>
      </c>
      <c r="C194" s="17">
        <v>34</v>
      </c>
      <c r="D194" s="18">
        <v>46045.4333333333</v>
      </c>
      <c r="E194" s="17">
        <v>2999</v>
      </c>
      <c r="F194" s="17" t="s">
        <v>12</v>
      </c>
      <c r="G194" s="17" t="s">
        <v>10</v>
      </c>
      <c r="H194" s="17">
        <v>37</v>
      </c>
      <c r="I194" s="17" t="str">
        <f>IFERROR(VLOOKUP(C194,Merchants!$A$2:$D$41,2,FALSE),"Merchant not found")</f>
        <v>Merchant_034</v>
      </c>
      <c r="J194" s="17" t="str">
        <f>IFERROR(VLOOKUP(C194,Merchants!$A$2:$D$41,3,FALSE),"Merchant not found")</f>
        <v>travel</v>
      </c>
      <c r="K194" s="17" t="str">
        <f>IFERROR(VLOOKUP(C194,Merchants!$A$2:$D$41,4,FALSE),"Merchant not found")</f>
        <v>South</v>
      </c>
      <c r="L194" s="19">
        <f>_xlfn.IFNA(HLOOKUP(F194,'MDR Rates'!$C$1:$F$2,2,FALSE),"N/A")</f>
        <v>0</v>
      </c>
      <c r="M194" s="20">
        <f t="shared" si="6"/>
        <v>46045</v>
      </c>
      <c r="N194" s="17">
        <f t="shared" si="8"/>
        <v>3148</v>
      </c>
      <c r="O194" s="17">
        <f>GETPIVOTDATA("amount_inr",'Pivot Table'!$A$3,"merchant_name",I194,"Date",M194)</f>
        <v>3148</v>
      </c>
      <c r="P194" s="17" t="str">
        <f t="shared" si="7"/>
        <v>Standard</v>
      </c>
    </row>
    <row r="195" spans="1:16">
      <c r="A195" s="17" t="s">
        <v>208</v>
      </c>
      <c r="B195" s="17">
        <v>221</v>
      </c>
      <c r="C195" s="17">
        <v>7</v>
      </c>
      <c r="D195" s="18">
        <v>46037.6930555556</v>
      </c>
      <c r="E195" s="17">
        <v>149</v>
      </c>
      <c r="F195" s="17" t="s">
        <v>15</v>
      </c>
      <c r="G195" s="17" t="s">
        <v>10</v>
      </c>
      <c r="H195" s="17">
        <v>89</v>
      </c>
      <c r="I195" s="17" t="str">
        <f>IFERROR(VLOOKUP(C195,Merchants!$A$2:$D$41,2,FALSE),"Merchant not found")</f>
        <v>Merchant_007</v>
      </c>
      <c r="J195" s="17" t="str">
        <f>IFERROR(VLOOKUP(C195,Merchants!$A$2:$D$41,3,FALSE),"Merchant not found")</f>
        <v>food_delivery</v>
      </c>
      <c r="K195" s="17" t="str">
        <f>IFERROR(VLOOKUP(C195,Merchants!$A$2:$D$41,4,FALSE),"Merchant not found")</f>
        <v>East</v>
      </c>
      <c r="L195" s="19">
        <f>_xlfn.IFNA(HLOOKUP(F195,'MDR Rates'!$C$1:$F$2,2,FALSE),"N/A")</f>
        <v>0.015</v>
      </c>
      <c r="M195" s="20">
        <f t="shared" ref="M195:M258" si="9">INT(D195)</f>
        <v>46037</v>
      </c>
      <c r="N195" s="17">
        <f t="shared" si="8"/>
        <v>1648</v>
      </c>
      <c r="O195" s="17">
        <f>GETPIVOTDATA("amount_inr",'Pivot Table'!$A$3,"merchant_name",I195,"Date",M195)</f>
        <v>1648</v>
      </c>
      <c r="P195" s="17" t="str">
        <f t="shared" ref="P195:P258" si="10">IF(AND(O195&gt;5000,K195&lt;&gt;"East"),"High-Value Merchant Day","Standard")</f>
        <v>Standard</v>
      </c>
    </row>
    <row r="196" spans="1:16">
      <c r="A196" s="17" t="s">
        <v>209</v>
      </c>
      <c r="B196" s="17">
        <v>283</v>
      </c>
      <c r="C196" s="17">
        <v>14</v>
      </c>
      <c r="D196" s="18">
        <v>46026.8618055556</v>
      </c>
      <c r="E196" s="17">
        <v>99</v>
      </c>
      <c r="F196" s="17" t="s">
        <v>9</v>
      </c>
      <c r="G196" s="17" t="s">
        <v>10</v>
      </c>
      <c r="H196" s="17">
        <v>55</v>
      </c>
      <c r="I196" s="17" t="str">
        <f>IFERROR(VLOOKUP(C196,Merchants!$A$2:$D$41,2,FALSE),"Merchant not found")</f>
        <v>Merchant_014</v>
      </c>
      <c r="J196" s="17" t="str">
        <f>IFERROR(VLOOKUP(C196,Merchants!$A$2:$D$41,3,FALSE),"Merchant not found")</f>
        <v>grocery</v>
      </c>
      <c r="K196" s="17" t="str">
        <f>IFERROR(VLOOKUP(C196,Merchants!$A$2:$D$41,4,FALSE),"Merchant not found")</f>
        <v>East</v>
      </c>
      <c r="L196" s="19">
        <f>_xlfn.IFNA(HLOOKUP(F196,'MDR Rates'!$C$1:$F$2,2,FALSE),"N/A")</f>
        <v>0.01</v>
      </c>
      <c r="M196" s="20">
        <f t="shared" si="9"/>
        <v>46026</v>
      </c>
      <c r="N196" s="17">
        <f t="shared" si="8"/>
        <v>99</v>
      </c>
      <c r="O196" s="17">
        <f>GETPIVOTDATA("amount_inr",'Pivot Table'!$A$3,"merchant_name",I196,"Date",M196)</f>
        <v>99</v>
      </c>
      <c r="P196" s="17" t="str">
        <f t="shared" si="10"/>
        <v>Standard</v>
      </c>
    </row>
    <row r="197" spans="1:16">
      <c r="A197" s="17" t="s">
        <v>210</v>
      </c>
      <c r="B197" s="17">
        <v>174</v>
      </c>
      <c r="C197" s="17">
        <v>30</v>
      </c>
      <c r="D197" s="18">
        <v>46037.3097222222</v>
      </c>
      <c r="E197" s="17">
        <v>49</v>
      </c>
      <c r="F197" s="17" t="s">
        <v>12</v>
      </c>
      <c r="G197" s="17" t="s">
        <v>10</v>
      </c>
      <c r="H197" s="17">
        <v>51</v>
      </c>
      <c r="I197" s="17" t="str">
        <f>IFERROR(VLOOKUP(C197,Merchants!$A$2:$D$41,2,FALSE),"Merchant not found")</f>
        <v>Merchant_030</v>
      </c>
      <c r="J197" s="17" t="str">
        <f>IFERROR(VLOOKUP(C197,Merchants!$A$2:$D$41,3,FALSE),"Merchant not found")</f>
        <v>travel</v>
      </c>
      <c r="K197" s="17" t="str">
        <f>IFERROR(VLOOKUP(C197,Merchants!$A$2:$D$41,4,FALSE),"Merchant not found")</f>
        <v>West</v>
      </c>
      <c r="L197" s="19">
        <f>_xlfn.IFNA(HLOOKUP(F197,'MDR Rates'!$C$1:$F$2,2,FALSE),"N/A")</f>
        <v>0</v>
      </c>
      <c r="M197" s="20">
        <f t="shared" si="9"/>
        <v>46037</v>
      </c>
      <c r="N197" s="17">
        <f t="shared" ref="N197:N260" si="11">SUMIFS($E$2:$E$548,$C$2:$C$548,C197,$M$2:$M$548,M197)</f>
        <v>49</v>
      </c>
      <c r="O197" s="17">
        <f>GETPIVOTDATA("amount_inr",'Pivot Table'!$A$3,"merchant_name",I197,"Date",M197)</f>
        <v>49</v>
      </c>
      <c r="P197" s="17" t="str">
        <f t="shared" si="10"/>
        <v>Standard</v>
      </c>
    </row>
    <row r="198" spans="1:16">
      <c r="A198" s="17" t="s">
        <v>211</v>
      </c>
      <c r="B198" s="17">
        <v>161</v>
      </c>
      <c r="C198" s="17">
        <v>28</v>
      </c>
      <c r="D198" s="18">
        <v>46036.9625</v>
      </c>
      <c r="E198" s="17">
        <v>49</v>
      </c>
      <c r="F198" s="17" t="s">
        <v>12</v>
      </c>
      <c r="G198" s="17" t="s">
        <v>10</v>
      </c>
      <c r="H198" s="17">
        <v>40</v>
      </c>
      <c r="I198" s="17" t="str">
        <f>IFERROR(VLOOKUP(C198,Merchants!$A$2:$D$41,2,FALSE),"Merchant not found")</f>
        <v>Merchant_028</v>
      </c>
      <c r="J198" s="17" t="str">
        <f>IFERROR(VLOOKUP(C198,Merchants!$A$2:$D$41,3,FALSE),"Merchant not found")</f>
        <v>ecommerce</v>
      </c>
      <c r="K198" s="17" t="str">
        <f>IFERROR(VLOOKUP(C198,Merchants!$A$2:$D$41,4,FALSE),"Merchant not found")</f>
        <v>South</v>
      </c>
      <c r="L198" s="19">
        <f>_xlfn.IFNA(HLOOKUP(F198,'MDR Rates'!$C$1:$F$2,2,FALSE),"N/A")</f>
        <v>0</v>
      </c>
      <c r="M198" s="20">
        <f t="shared" si="9"/>
        <v>46036</v>
      </c>
      <c r="N198" s="17">
        <f t="shared" si="11"/>
        <v>49</v>
      </c>
      <c r="O198" s="17">
        <f>GETPIVOTDATA("amount_inr",'Pivot Table'!$A$3,"merchant_name",I198,"Date",M198)</f>
        <v>49</v>
      </c>
      <c r="P198" s="17" t="str">
        <f t="shared" si="10"/>
        <v>Standard</v>
      </c>
    </row>
    <row r="199" spans="1:16">
      <c r="A199" s="17" t="s">
        <v>212</v>
      </c>
      <c r="B199" s="17">
        <v>79</v>
      </c>
      <c r="C199" s="17">
        <v>31</v>
      </c>
      <c r="D199" s="18">
        <v>46044.3493055556</v>
      </c>
      <c r="E199" s="17">
        <v>99</v>
      </c>
      <c r="F199" s="17" t="s">
        <v>12</v>
      </c>
      <c r="G199" s="17" t="s">
        <v>10</v>
      </c>
      <c r="H199" s="17">
        <v>8</v>
      </c>
      <c r="I199" s="17" t="str">
        <f>IFERROR(VLOOKUP(C199,Merchants!$A$2:$D$41,2,FALSE),"Merchant not found")</f>
        <v>Merchant_031</v>
      </c>
      <c r="J199" s="17" t="str">
        <f>IFERROR(VLOOKUP(C199,Merchants!$A$2:$D$41,3,FALSE),"Merchant not found")</f>
        <v>bill_payment</v>
      </c>
      <c r="K199" s="17" t="str">
        <f>IFERROR(VLOOKUP(C199,Merchants!$A$2:$D$41,4,FALSE),"Merchant not found")</f>
        <v>East</v>
      </c>
      <c r="L199" s="19">
        <f>_xlfn.IFNA(HLOOKUP(F199,'MDR Rates'!$C$1:$F$2,2,FALSE),"N/A")</f>
        <v>0</v>
      </c>
      <c r="M199" s="20">
        <f t="shared" si="9"/>
        <v>46044</v>
      </c>
      <c r="N199" s="17">
        <f t="shared" si="11"/>
        <v>99</v>
      </c>
      <c r="O199" s="17">
        <f>GETPIVOTDATA("amount_inr",'Pivot Table'!$A$3,"merchant_name",I199,"Date",M199)</f>
        <v>99</v>
      </c>
      <c r="P199" s="17" t="str">
        <f t="shared" si="10"/>
        <v>Standard</v>
      </c>
    </row>
    <row r="200" spans="1:16">
      <c r="A200" s="17" t="s">
        <v>213</v>
      </c>
      <c r="B200" s="17">
        <v>222</v>
      </c>
      <c r="C200" s="17">
        <v>7</v>
      </c>
      <c r="D200" s="18">
        <v>46025.0868055556</v>
      </c>
      <c r="E200" s="17">
        <v>149</v>
      </c>
      <c r="F200" s="17" t="s">
        <v>9</v>
      </c>
      <c r="G200" s="17" t="s">
        <v>10</v>
      </c>
      <c r="H200" s="17">
        <v>95</v>
      </c>
      <c r="I200" s="17" t="str">
        <f>IFERROR(VLOOKUP(C200,Merchants!$A$2:$D$41,2,FALSE),"Merchant not found")</f>
        <v>Merchant_007</v>
      </c>
      <c r="J200" s="17" t="str">
        <f>IFERROR(VLOOKUP(C200,Merchants!$A$2:$D$41,3,FALSE),"Merchant not found")</f>
        <v>food_delivery</v>
      </c>
      <c r="K200" s="17" t="str">
        <f>IFERROR(VLOOKUP(C200,Merchants!$A$2:$D$41,4,FALSE),"Merchant not found")</f>
        <v>East</v>
      </c>
      <c r="L200" s="19">
        <f>_xlfn.IFNA(HLOOKUP(F200,'MDR Rates'!$C$1:$F$2,2,FALSE),"N/A")</f>
        <v>0.01</v>
      </c>
      <c r="M200" s="20">
        <f t="shared" si="9"/>
        <v>46025</v>
      </c>
      <c r="N200" s="17">
        <f t="shared" si="11"/>
        <v>149</v>
      </c>
      <c r="O200" s="17">
        <f>GETPIVOTDATA("amount_inr",'Pivot Table'!$A$3,"merchant_name",I200,"Date",M200)</f>
        <v>149</v>
      </c>
      <c r="P200" s="17" t="str">
        <f t="shared" si="10"/>
        <v>Standard</v>
      </c>
    </row>
    <row r="201" spans="1:16">
      <c r="A201" s="17" t="s">
        <v>214</v>
      </c>
      <c r="B201" s="17">
        <v>67</v>
      </c>
      <c r="C201" s="17">
        <v>36</v>
      </c>
      <c r="D201" s="18">
        <v>46046.49375</v>
      </c>
      <c r="E201" s="17">
        <v>99</v>
      </c>
      <c r="F201" s="17" t="s">
        <v>12</v>
      </c>
      <c r="G201" s="17" t="s">
        <v>10</v>
      </c>
      <c r="H201" s="17">
        <v>7</v>
      </c>
      <c r="I201" s="17" t="str">
        <f>IFERROR(VLOOKUP(C201,Merchants!$A$2:$D$41,2,FALSE),"Merchant not found")</f>
        <v>Merchant_036</v>
      </c>
      <c r="J201" s="17" t="str">
        <f>IFERROR(VLOOKUP(C201,Merchants!$A$2:$D$41,3,FALSE),"Merchant not found")</f>
        <v>entertainment</v>
      </c>
      <c r="K201" s="17" t="str">
        <f>IFERROR(VLOOKUP(C201,Merchants!$A$2:$D$41,4,FALSE),"Merchant not found")</f>
        <v>East</v>
      </c>
      <c r="L201" s="19">
        <f>_xlfn.IFNA(HLOOKUP(F201,'MDR Rates'!$C$1:$F$2,2,FALSE),"N/A")</f>
        <v>0</v>
      </c>
      <c r="M201" s="20">
        <f t="shared" si="9"/>
        <v>46046</v>
      </c>
      <c r="N201" s="17">
        <f t="shared" si="11"/>
        <v>1647</v>
      </c>
      <c r="O201" s="17">
        <f>GETPIVOTDATA("amount_inr",'Pivot Table'!$A$3,"merchant_name",I201,"Date",M201)</f>
        <v>1647</v>
      </c>
      <c r="P201" s="17" t="str">
        <f t="shared" si="10"/>
        <v>Standard</v>
      </c>
    </row>
    <row r="202" spans="1:16">
      <c r="A202" s="17" t="s">
        <v>215</v>
      </c>
      <c r="B202" s="17">
        <v>169</v>
      </c>
      <c r="C202" s="17">
        <v>8</v>
      </c>
      <c r="D202" s="18">
        <v>46041.7326388889</v>
      </c>
      <c r="E202" s="17">
        <v>99</v>
      </c>
      <c r="F202" s="17" t="s">
        <v>12</v>
      </c>
      <c r="G202" s="17" t="s">
        <v>10</v>
      </c>
      <c r="H202" s="17">
        <v>52</v>
      </c>
      <c r="I202" s="17" t="str">
        <f>IFERROR(VLOOKUP(C202,Merchants!$A$2:$D$41,2,FALSE),"Merchant not found")</f>
        <v>Merchant_008</v>
      </c>
      <c r="J202" s="17" t="str">
        <f>IFERROR(VLOOKUP(C202,Merchants!$A$2:$D$41,3,FALSE),"Merchant not found")</f>
        <v>food_delivery</v>
      </c>
      <c r="K202" s="17" t="str">
        <f>IFERROR(VLOOKUP(C202,Merchants!$A$2:$D$41,4,FALSE),"Merchant not found")</f>
        <v>North</v>
      </c>
      <c r="L202" s="19">
        <f>_xlfn.IFNA(HLOOKUP(F202,'MDR Rates'!$C$1:$F$2,2,FALSE),"N/A")</f>
        <v>0</v>
      </c>
      <c r="M202" s="20">
        <f t="shared" si="9"/>
        <v>46041</v>
      </c>
      <c r="N202" s="17">
        <f t="shared" si="11"/>
        <v>99</v>
      </c>
      <c r="O202" s="17">
        <f>GETPIVOTDATA("amount_inr",'Pivot Table'!$A$3,"merchant_name",I202,"Date",M202)</f>
        <v>99</v>
      </c>
      <c r="P202" s="17" t="str">
        <f t="shared" si="10"/>
        <v>Standard</v>
      </c>
    </row>
    <row r="203" spans="1:16">
      <c r="A203" s="17" t="s">
        <v>216</v>
      </c>
      <c r="B203" s="17">
        <v>217</v>
      </c>
      <c r="C203" s="17">
        <v>4</v>
      </c>
      <c r="D203" s="18">
        <v>46034.9083333333</v>
      </c>
      <c r="E203" s="17">
        <v>49</v>
      </c>
      <c r="F203" s="17" t="s">
        <v>12</v>
      </c>
      <c r="G203" s="17" t="s">
        <v>10</v>
      </c>
      <c r="H203" s="17">
        <v>36</v>
      </c>
      <c r="I203" s="17" t="str">
        <f>IFERROR(VLOOKUP(C203,Merchants!$A$2:$D$41,2,FALSE),"Merchant not found")</f>
        <v>Merchant_004</v>
      </c>
      <c r="J203" s="17" t="str">
        <f>IFERROR(VLOOKUP(C203,Merchants!$A$2:$D$41,3,FALSE),"Merchant not found")</f>
        <v>ecommerce</v>
      </c>
      <c r="K203" s="17" t="str">
        <f>IFERROR(VLOOKUP(C203,Merchants!$A$2:$D$41,4,FALSE),"Merchant not found")</f>
        <v>East</v>
      </c>
      <c r="L203" s="19">
        <f>_xlfn.IFNA(HLOOKUP(F203,'MDR Rates'!$C$1:$F$2,2,FALSE),"N/A")</f>
        <v>0</v>
      </c>
      <c r="M203" s="20">
        <f t="shared" si="9"/>
        <v>46034</v>
      </c>
      <c r="N203" s="17">
        <f t="shared" si="11"/>
        <v>49</v>
      </c>
      <c r="O203" s="17">
        <f>GETPIVOTDATA("amount_inr",'Pivot Table'!$A$3,"merchant_name",I203,"Date",M203)</f>
        <v>49</v>
      </c>
      <c r="P203" s="17" t="str">
        <f t="shared" si="10"/>
        <v>Standard</v>
      </c>
    </row>
    <row r="204" spans="1:16">
      <c r="A204" s="17" t="s">
        <v>217</v>
      </c>
      <c r="B204" s="17">
        <v>54</v>
      </c>
      <c r="C204" s="17">
        <v>37</v>
      </c>
      <c r="D204" s="18">
        <v>46042.3902777778</v>
      </c>
      <c r="E204" s="17">
        <v>149</v>
      </c>
      <c r="F204" s="17" t="s">
        <v>12</v>
      </c>
      <c r="G204" s="17" t="s">
        <v>10</v>
      </c>
      <c r="H204" s="17">
        <v>64</v>
      </c>
      <c r="I204" s="17" t="str">
        <f>IFERROR(VLOOKUP(C204,Merchants!$A$2:$D$41,2,FALSE),"Merchant not found")</f>
        <v>Merchant_037</v>
      </c>
      <c r="J204" s="17" t="str">
        <f>IFERROR(VLOOKUP(C204,Merchants!$A$2:$D$41,3,FALSE),"Merchant not found")</f>
        <v>entertainment</v>
      </c>
      <c r="K204" s="17" t="str">
        <f>IFERROR(VLOOKUP(C204,Merchants!$A$2:$D$41,4,FALSE),"Merchant not found")</f>
        <v>South</v>
      </c>
      <c r="L204" s="19">
        <f>_xlfn.IFNA(HLOOKUP(F204,'MDR Rates'!$C$1:$F$2,2,FALSE),"N/A")</f>
        <v>0</v>
      </c>
      <c r="M204" s="20">
        <f t="shared" si="9"/>
        <v>46042</v>
      </c>
      <c r="N204" s="17">
        <f t="shared" si="11"/>
        <v>149</v>
      </c>
      <c r="O204" s="17">
        <f>GETPIVOTDATA("amount_inr",'Pivot Table'!$A$3,"merchant_name",I204,"Date",M204)</f>
        <v>149</v>
      </c>
      <c r="P204" s="17" t="str">
        <f t="shared" si="10"/>
        <v>Standard</v>
      </c>
    </row>
    <row r="205" spans="1:16">
      <c r="A205" s="17" t="s">
        <v>218</v>
      </c>
      <c r="B205" s="17">
        <v>247</v>
      </c>
      <c r="C205" s="17">
        <v>15</v>
      </c>
      <c r="D205" s="18">
        <v>46029.1958333333</v>
      </c>
      <c r="E205" s="17">
        <v>49</v>
      </c>
      <c r="F205" s="17" t="s">
        <v>24</v>
      </c>
      <c r="G205" s="17" t="s">
        <v>10</v>
      </c>
      <c r="H205" s="17">
        <v>13</v>
      </c>
      <c r="I205" s="17" t="str">
        <f>IFERROR(VLOOKUP(C205,Merchants!$A$2:$D$41,2,FALSE),"Merchant not found")</f>
        <v>Merchant_015</v>
      </c>
      <c r="J205" s="17" t="str">
        <f>IFERROR(VLOOKUP(C205,Merchants!$A$2:$D$41,3,FALSE),"Merchant not found")</f>
        <v>travel</v>
      </c>
      <c r="K205" s="17" t="str">
        <f>IFERROR(VLOOKUP(C205,Merchants!$A$2:$D$41,4,FALSE),"Merchant not found")</f>
        <v>North</v>
      </c>
      <c r="L205" s="19">
        <f>_xlfn.IFNA(HLOOKUP(F205,'MDR Rates'!$C$1:$F$2,2,FALSE),"N/A")</f>
        <v>0.02</v>
      </c>
      <c r="M205" s="20">
        <f t="shared" si="9"/>
        <v>46029</v>
      </c>
      <c r="N205" s="17">
        <f t="shared" si="11"/>
        <v>49</v>
      </c>
      <c r="O205" s="17">
        <f>GETPIVOTDATA("amount_inr",'Pivot Table'!$A$3,"merchant_name",I205,"Date",M205)</f>
        <v>49</v>
      </c>
      <c r="P205" s="17" t="str">
        <f t="shared" si="10"/>
        <v>Standard</v>
      </c>
    </row>
    <row r="206" spans="1:16">
      <c r="A206" s="17" t="s">
        <v>219</v>
      </c>
      <c r="B206" s="17">
        <v>59</v>
      </c>
      <c r="C206" s="17">
        <v>18</v>
      </c>
      <c r="D206" s="18">
        <v>46034.7243055556</v>
      </c>
      <c r="E206" s="17">
        <v>49</v>
      </c>
      <c r="F206" s="17" t="s">
        <v>24</v>
      </c>
      <c r="G206" s="17" t="s">
        <v>10</v>
      </c>
      <c r="H206" s="17">
        <v>73</v>
      </c>
      <c r="I206" s="17" t="str">
        <f>IFERROR(VLOOKUP(C206,Merchants!$A$2:$D$41,2,FALSE),"Merchant not found")</f>
        <v>Merchant_018</v>
      </c>
      <c r="J206" s="17" t="str">
        <f>IFERROR(VLOOKUP(C206,Merchants!$A$2:$D$41,3,FALSE),"Merchant not found")</f>
        <v>grocery</v>
      </c>
      <c r="K206" s="17" t="str">
        <f>IFERROR(VLOOKUP(C206,Merchants!$A$2:$D$41,4,FALSE),"Merchant not found")</f>
        <v>West</v>
      </c>
      <c r="L206" s="19">
        <f>_xlfn.IFNA(HLOOKUP(F206,'MDR Rates'!$C$1:$F$2,2,FALSE),"N/A")</f>
        <v>0.02</v>
      </c>
      <c r="M206" s="20">
        <f t="shared" si="9"/>
        <v>46034</v>
      </c>
      <c r="N206" s="17">
        <f t="shared" si="11"/>
        <v>49</v>
      </c>
      <c r="O206" s="17">
        <f>GETPIVOTDATA("amount_inr",'Pivot Table'!$A$3,"merchant_name",I206,"Date",M206)</f>
        <v>49</v>
      </c>
      <c r="P206" s="17" t="str">
        <f t="shared" si="10"/>
        <v>Standard</v>
      </c>
    </row>
    <row r="207" spans="1:16">
      <c r="A207" s="17" t="s">
        <v>220</v>
      </c>
      <c r="B207" s="17">
        <v>288</v>
      </c>
      <c r="C207" s="17">
        <v>40</v>
      </c>
      <c r="D207" s="18">
        <v>46030.5791666667</v>
      </c>
      <c r="E207" s="17">
        <v>49</v>
      </c>
      <c r="F207" s="17" t="s">
        <v>12</v>
      </c>
      <c r="G207" s="17" t="s">
        <v>25</v>
      </c>
      <c r="H207" s="17">
        <v>78</v>
      </c>
      <c r="I207" s="17" t="str">
        <f>IFERROR(VLOOKUP(C207,Merchants!$A$2:$D$41,2,FALSE),"Merchant not found")</f>
        <v>Merchant_040</v>
      </c>
      <c r="J207" s="17" t="str">
        <f>IFERROR(VLOOKUP(C207,Merchants!$A$2:$D$41,3,FALSE),"Merchant not found")</f>
        <v>entertainment</v>
      </c>
      <c r="K207" s="17" t="str">
        <f>IFERROR(VLOOKUP(C207,Merchants!$A$2:$D$41,4,FALSE),"Merchant not found")</f>
        <v>South</v>
      </c>
      <c r="L207" s="19">
        <f>_xlfn.IFNA(HLOOKUP(F207,'MDR Rates'!$C$1:$F$2,2,FALSE),"N/A")</f>
        <v>0</v>
      </c>
      <c r="M207" s="20">
        <f t="shared" si="9"/>
        <v>46030</v>
      </c>
      <c r="N207" s="17">
        <f t="shared" si="11"/>
        <v>49</v>
      </c>
      <c r="O207" s="17">
        <f>GETPIVOTDATA("amount_inr",'Pivot Table'!$A$3,"merchant_name",I207,"Date",M207)</f>
        <v>49</v>
      </c>
      <c r="P207" s="17" t="str">
        <f t="shared" si="10"/>
        <v>Standard</v>
      </c>
    </row>
    <row r="208" spans="1:16">
      <c r="A208" s="17" t="s">
        <v>221</v>
      </c>
      <c r="B208" s="17">
        <v>14</v>
      </c>
      <c r="C208" s="17">
        <v>39</v>
      </c>
      <c r="D208" s="18">
        <v>46044.8576388889</v>
      </c>
      <c r="E208" s="17">
        <v>799</v>
      </c>
      <c r="F208" s="17" t="s">
        <v>12</v>
      </c>
      <c r="G208" s="17" t="s">
        <v>10</v>
      </c>
      <c r="H208" s="17">
        <v>84</v>
      </c>
      <c r="I208" s="17" t="str">
        <f>IFERROR(VLOOKUP(C208,Merchants!$A$2:$D$41,2,FALSE),"Merchant not found")</f>
        <v>Merchant_039</v>
      </c>
      <c r="J208" s="17" t="str">
        <f>IFERROR(VLOOKUP(C208,Merchants!$A$2:$D$41,3,FALSE),"Merchant not found")</f>
        <v>entertainment</v>
      </c>
      <c r="K208" s="17" t="str">
        <f>IFERROR(VLOOKUP(C208,Merchants!$A$2:$D$41,4,FALSE),"Merchant not found")</f>
        <v>North</v>
      </c>
      <c r="L208" s="19">
        <f>_xlfn.IFNA(HLOOKUP(F208,'MDR Rates'!$C$1:$F$2,2,FALSE),"N/A")</f>
        <v>0</v>
      </c>
      <c r="M208" s="20">
        <f t="shared" si="9"/>
        <v>46044</v>
      </c>
      <c r="N208" s="17">
        <f t="shared" si="11"/>
        <v>9796</v>
      </c>
      <c r="O208" s="17">
        <f>GETPIVOTDATA("amount_inr",'Pivot Table'!$A$3,"merchant_name",I208,"Date",M208)</f>
        <v>9796</v>
      </c>
      <c r="P208" s="17" t="str">
        <f t="shared" si="10"/>
        <v>High-Value Merchant Day</v>
      </c>
    </row>
    <row r="209" spans="1:16">
      <c r="A209" s="17" t="s">
        <v>222</v>
      </c>
      <c r="B209" s="17">
        <v>15</v>
      </c>
      <c r="C209" s="17">
        <v>12</v>
      </c>
      <c r="D209" s="18">
        <v>46049.9284722222</v>
      </c>
      <c r="E209" s="17">
        <v>149</v>
      </c>
      <c r="F209" s="17" t="s">
        <v>12</v>
      </c>
      <c r="G209" s="17" t="s">
        <v>10</v>
      </c>
      <c r="H209" s="17">
        <v>34</v>
      </c>
      <c r="I209" s="17" t="str">
        <f>IFERROR(VLOOKUP(C209,Merchants!$A$2:$D$41,2,FALSE),"Merchant not found")</f>
        <v>Merchant_012</v>
      </c>
      <c r="J209" s="17" t="str">
        <f>IFERROR(VLOOKUP(C209,Merchants!$A$2:$D$41,3,FALSE),"Merchant not found")</f>
        <v>ecommerce</v>
      </c>
      <c r="K209" s="17" t="str">
        <f>IFERROR(VLOOKUP(C209,Merchants!$A$2:$D$41,4,FALSE),"Merchant not found")</f>
        <v>East</v>
      </c>
      <c r="L209" s="19">
        <f>_xlfn.IFNA(HLOOKUP(F209,'MDR Rates'!$C$1:$F$2,2,FALSE),"N/A")</f>
        <v>0</v>
      </c>
      <c r="M209" s="20">
        <f t="shared" si="9"/>
        <v>46049</v>
      </c>
      <c r="N209" s="17">
        <f t="shared" si="11"/>
        <v>149</v>
      </c>
      <c r="O209" s="17">
        <f>GETPIVOTDATA("amount_inr",'Pivot Table'!$A$3,"merchant_name",I209,"Date",M209)</f>
        <v>149</v>
      </c>
      <c r="P209" s="17" t="str">
        <f t="shared" si="10"/>
        <v>Standard</v>
      </c>
    </row>
    <row r="210" spans="1:16">
      <c r="A210" s="17" t="s">
        <v>223</v>
      </c>
      <c r="B210" s="17">
        <v>174</v>
      </c>
      <c r="C210" s="17">
        <v>23</v>
      </c>
      <c r="D210" s="18">
        <v>46045.4152777778</v>
      </c>
      <c r="E210" s="17">
        <v>149</v>
      </c>
      <c r="F210" s="17" t="s">
        <v>12</v>
      </c>
      <c r="G210" s="17" t="s">
        <v>10</v>
      </c>
      <c r="H210" s="17">
        <v>0</v>
      </c>
      <c r="I210" s="17" t="str">
        <f>IFERROR(VLOOKUP(C210,Merchants!$A$2:$D$41,2,FALSE),"Merchant not found")</f>
        <v>Merchant_023</v>
      </c>
      <c r="J210" s="17" t="str">
        <f>IFERROR(VLOOKUP(C210,Merchants!$A$2:$D$41,3,FALSE),"Merchant not found")</f>
        <v>travel</v>
      </c>
      <c r="K210" s="17" t="str">
        <f>IFERROR(VLOOKUP(C210,Merchants!$A$2:$D$41,4,FALSE),"Merchant not found")</f>
        <v>North</v>
      </c>
      <c r="L210" s="19">
        <f>_xlfn.IFNA(HLOOKUP(F210,'MDR Rates'!$C$1:$F$2,2,FALSE),"N/A")</f>
        <v>0</v>
      </c>
      <c r="M210" s="20">
        <f t="shared" si="9"/>
        <v>46045</v>
      </c>
      <c r="N210" s="17">
        <f t="shared" si="11"/>
        <v>247</v>
      </c>
      <c r="O210" s="17">
        <f>GETPIVOTDATA("amount_inr",'Pivot Table'!$A$3,"merchant_name",I210,"Date",M210)</f>
        <v>247</v>
      </c>
      <c r="P210" s="17" t="str">
        <f t="shared" si="10"/>
        <v>Standard</v>
      </c>
    </row>
    <row r="211" spans="1:16">
      <c r="A211" s="17" t="s">
        <v>224</v>
      </c>
      <c r="B211" s="17">
        <v>337</v>
      </c>
      <c r="C211" s="17">
        <v>26</v>
      </c>
      <c r="D211" s="18">
        <v>46028.1916666667</v>
      </c>
      <c r="E211" s="17">
        <v>49</v>
      </c>
      <c r="F211" s="17" t="s">
        <v>12</v>
      </c>
      <c r="G211" s="17" t="s">
        <v>10</v>
      </c>
      <c r="H211" s="17">
        <v>8</v>
      </c>
      <c r="I211" s="17" t="str">
        <f>IFERROR(VLOOKUP(C211,Merchants!$A$2:$D$41,2,FALSE),"Merchant not found")</f>
        <v>Merchant_026</v>
      </c>
      <c r="J211" s="17" t="str">
        <f>IFERROR(VLOOKUP(C211,Merchants!$A$2:$D$41,3,FALSE),"Merchant not found")</f>
        <v>food_delivery</v>
      </c>
      <c r="K211" s="17" t="str">
        <f>IFERROR(VLOOKUP(C211,Merchants!$A$2:$D$41,4,FALSE),"Merchant not found")</f>
        <v>East</v>
      </c>
      <c r="L211" s="19">
        <f>_xlfn.IFNA(HLOOKUP(F211,'MDR Rates'!$C$1:$F$2,2,FALSE),"N/A")</f>
        <v>0</v>
      </c>
      <c r="M211" s="20">
        <f t="shared" si="9"/>
        <v>46028</v>
      </c>
      <c r="N211" s="17">
        <f t="shared" si="11"/>
        <v>49</v>
      </c>
      <c r="O211" s="17">
        <f>GETPIVOTDATA("amount_inr",'Pivot Table'!$A$3,"merchant_name",I211,"Date",M211)</f>
        <v>49</v>
      </c>
      <c r="P211" s="17" t="str">
        <f t="shared" si="10"/>
        <v>Standard</v>
      </c>
    </row>
    <row r="212" spans="1:16">
      <c r="A212" s="17" t="s">
        <v>225</v>
      </c>
      <c r="B212" s="17">
        <v>16</v>
      </c>
      <c r="C212" s="17">
        <v>6</v>
      </c>
      <c r="D212" s="18">
        <v>46027.9861111111</v>
      </c>
      <c r="E212" s="17">
        <v>1499</v>
      </c>
      <c r="F212" s="17" t="s">
        <v>12</v>
      </c>
      <c r="G212" s="17" t="s">
        <v>10</v>
      </c>
      <c r="H212" s="17">
        <v>95</v>
      </c>
      <c r="I212" s="17" t="str">
        <f>IFERROR(VLOOKUP(C212,Merchants!$A$2:$D$41,2,FALSE),"Merchant not found")</f>
        <v>Merchant_006</v>
      </c>
      <c r="J212" s="17" t="str">
        <f>IFERROR(VLOOKUP(C212,Merchants!$A$2:$D$41,3,FALSE),"Merchant not found")</f>
        <v>food_delivery</v>
      </c>
      <c r="K212" s="17" t="str">
        <f>IFERROR(VLOOKUP(C212,Merchants!$A$2:$D$41,4,FALSE),"Merchant not found")</f>
        <v>South</v>
      </c>
      <c r="L212" s="19">
        <f>_xlfn.IFNA(HLOOKUP(F212,'MDR Rates'!$C$1:$F$2,2,FALSE),"N/A")</f>
        <v>0</v>
      </c>
      <c r="M212" s="20">
        <f t="shared" si="9"/>
        <v>46027</v>
      </c>
      <c r="N212" s="17">
        <f t="shared" si="11"/>
        <v>1499</v>
      </c>
      <c r="O212" s="17">
        <f>GETPIVOTDATA("amount_inr",'Pivot Table'!$A$3,"merchant_name",I212,"Date",M212)</f>
        <v>1499</v>
      </c>
      <c r="P212" s="17" t="str">
        <f t="shared" si="10"/>
        <v>Standard</v>
      </c>
    </row>
    <row r="213" spans="1:16">
      <c r="A213" s="17" t="s">
        <v>226</v>
      </c>
      <c r="B213" s="17">
        <v>215</v>
      </c>
      <c r="C213" s="17">
        <v>30</v>
      </c>
      <c r="D213" s="18">
        <v>46039.2666666667</v>
      </c>
      <c r="E213" s="17">
        <v>49</v>
      </c>
      <c r="F213" s="17" t="s">
        <v>12</v>
      </c>
      <c r="G213" s="17" t="s">
        <v>10</v>
      </c>
      <c r="H213" s="17">
        <v>43</v>
      </c>
      <c r="I213" s="17" t="str">
        <f>IFERROR(VLOOKUP(C213,Merchants!$A$2:$D$41,2,FALSE),"Merchant not found")</f>
        <v>Merchant_030</v>
      </c>
      <c r="J213" s="17" t="str">
        <f>IFERROR(VLOOKUP(C213,Merchants!$A$2:$D$41,3,FALSE),"Merchant not found")</f>
        <v>travel</v>
      </c>
      <c r="K213" s="17" t="str">
        <f>IFERROR(VLOOKUP(C213,Merchants!$A$2:$D$41,4,FALSE),"Merchant not found")</f>
        <v>West</v>
      </c>
      <c r="L213" s="19">
        <f>_xlfn.IFNA(HLOOKUP(F213,'MDR Rates'!$C$1:$F$2,2,FALSE),"N/A")</f>
        <v>0</v>
      </c>
      <c r="M213" s="20">
        <f t="shared" si="9"/>
        <v>46039</v>
      </c>
      <c r="N213" s="17">
        <f t="shared" si="11"/>
        <v>49</v>
      </c>
      <c r="O213" s="17">
        <f>GETPIVOTDATA("amount_inr",'Pivot Table'!$A$3,"merchant_name",I213,"Date",M213)</f>
        <v>49</v>
      </c>
      <c r="P213" s="17" t="str">
        <f t="shared" si="10"/>
        <v>Standard</v>
      </c>
    </row>
    <row r="214" spans="1:16">
      <c r="A214" s="17" t="s">
        <v>227</v>
      </c>
      <c r="B214" s="17">
        <v>167</v>
      </c>
      <c r="C214" s="17">
        <v>37</v>
      </c>
      <c r="D214" s="18">
        <v>46028.4715277778</v>
      </c>
      <c r="E214" s="17">
        <v>99</v>
      </c>
      <c r="F214" s="17" t="s">
        <v>12</v>
      </c>
      <c r="G214" s="17" t="s">
        <v>10</v>
      </c>
      <c r="H214" s="17">
        <v>76</v>
      </c>
      <c r="I214" s="17" t="str">
        <f>IFERROR(VLOOKUP(C214,Merchants!$A$2:$D$41,2,FALSE),"Merchant not found")</f>
        <v>Merchant_037</v>
      </c>
      <c r="J214" s="17" t="str">
        <f>IFERROR(VLOOKUP(C214,Merchants!$A$2:$D$41,3,FALSE),"Merchant not found")</f>
        <v>entertainment</v>
      </c>
      <c r="K214" s="17" t="str">
        <f>IFERROR(VLOOKUP(C214,Merchants!$A$2:$D$41,4,FALSE),"Merchant not found")</f>
        <v>South</v>
      </c>
      <c r="L214" s="19">
        <f>_xlfn.IFNA(HLOOKUP(F214,'MDR Rates'!$C$1:$F$2,2,FALSE),"N/A")</f>
        <v>0</v>
      </c>
      <c r="M214" s="20">
        <f t="shared" si="9"/>
        <v>46028</v>
      </c>
      <c r="N214" s="17">
        <f t="shared" si="11"/>
        <v>99</v>
      </c>
      <c r="O214" s="17">
        <f>GETPIVOTDATA("amount_inr",'Pivot Table'!$A$3,"merchant_name",I214,"Date",M214)</f>
        <v>99</v>
      </c>
      <c r="P214" s="17" t="str">
        <f t="shared" si="10"/>
        <v>Standard</v>
      </c>
    </row>
    <row r="215" spans="1:16">
      <c r="A215" s="17" t="s">
        <v>228</v>
      </c>
      <c r="B215" s="17">
        <v>81</v>
      </c>
      <c r="C215" s="17">
        <v>40</v>
      </c>
      <c r="D215" s="18">
        <v>46025.0479166667</v>
      </c>
      <c r="E215" s="17">
        <v>49</v>
      </c>
      <c r="F215" s="17" t="s">
        <v>12</v>
      </c>
      <c r="G215" s="17" t="s">
        <v>10</v>
      </c>
      <c r="H215" s="17">
        <v>6</v>
      </c>
      <c r="I215" s="17" t="str">
        <f>IFERROR(VLOOKUP(C215,Merchants!$A$2:$D$41,2,FALSE),"Merchant not found")</f>
        <v>Merchant_040</v>
      </c>
      <c r="J215" s="17" t="str">
        <f>IFERROR(VLOOKUP(C215,Merchants!$A$2:$D$41,3,FALSE),"Merchant not found")</f>
        <v>entertainment</v>
      </c>
      <c r="K215" s="17" t="str">
        <f>IFERROR(VLOOKUP(C215,Merchants!$A$2:$D$41,4,FALSE),"Merchant not found")</f>
        <v>South</v>
      </c>
      <c r="L215" s="19">
        <f>_xlfn.IFNA(HLOOKUP(F215,'MDR Rates'!$C$1:$F$2,2,FALSE),"N/A")</f>
        <v>0</v>
      </c>
      <c r="M215" s="20">
        <f t="shared" si="9"/>
        <v>46025</v>
      </c>
      <c r="N215" s="17">
        <f t="shared" si="11"/>
        <v>49</v>
      </c>
      <c r="O215" s="17">
        <f>GETPIVOTDATA("amount_inr",'Pivot Table'!$A$3,"merchant_name",I215,"Date",M215)</f>
        <v>49</v>
      </c>
      <c r="P215" s="17" t="str">
        <f t="shared" si="10"/>
        <v>Standard</v>
      </c>
    </row>
    <row r="216" spans="1:16">
      <c r="A216" s="17" t="s">
        <v>229</v>
      </c>
      <c r="B216" s="17">
        <v>227</v>
      </c>
      <c r="C216" s="17">
        <v>28</v>
      </c>
      <c r="D216" s="18">
        <v>46044.0951388889</v>
      </c>
      <c r="E216" s="17">
        <v>99</v>
      </c>
      <c r="F216" s="17" t="s">
        <v>12</v>
      </c>
      <c r="G216" s="17" t="s">
        <v>10</v>
      </c>
      <c r="H216" s="17">
        <v>62</v>
      </c>
      <c r="I216" s="17" t="str">
        <f>IFERROR(VLOOKUP(C216,Merchants!$A$2:$D$41,2,FALSE),"Merchant not found")</f>
        <v>Merchant_028</v>
      </c>
      <c r="J216" s="17" t="str">
        <f>IFERROR(VLOOKUP(C216,Merchants!$A$2:$D$41,3,FALSE),"Merchant not found")</f>
        <v>ecommerce</v>
      </c>
      <c r="K216" s="17" t="str">
        <f>IFERROR(VLOOKUP(C216,Merchants!$A$2:$D$41,4,FALSE),"Merchant not found")</f>
        <v>South</v>
      </c>
      <c r="L216" s="19">
        <f>_xlfn.IFNA(HLOOKUP(F216,'MDR Rates'!$C$1:$F$2,2,FALSE),"N/A")</f>
        <v>0</v>
      </c>
      <c r="M216" s="20">
        <f t="shared" si="9"/>
        <v>46044</v>
      </c>
      <c r="N216" s="17">
        <f t="shared" si="11"/>
        <v>99</v>
      </c>
      <c r="O216" s="17">
        <f>GETPIVOTDATA("amount_inr",'Pivot Table'!$A$3,"merchant_name",I216,"Date",M216)</f>
        <v>99</v>
      </c>
      <c r="P216" s="17" t="str">
        <f t="shared" si="10"/>
        <v>Standard</v>
      </c>
    </row>
    <row r="217" spans="1:16">
      <c r="A217" s="17" t="s">
        <v>230</v>
      </c>
      <c r="B217" s="17">
        <v>140</v>
      </c>
      <c r="C217" s="17">
        <v>14</v>
      </c>
      <c r="D217" s="18">
        <v>46042.6013888889</v>
      </c>
      <c r="E217" s="17">
        <v>299</v>
      </c>
      <c r="F217" s="17" t="s">
        <v>9</v>
      </c>
      <c r="G217" s="17" t="s">
        <v>10</v>
      </c>
      <c r="H217" s="17">
        <v>96</v>
      </c>
      <c r="I217" s="17" t="str">
        <f>IFERROR(VLOOKUP(C217,Merchants!$A$2:$D$41,2,FALSE),"Merchant not found")</f>
        <v>Merchant_014</v>
      </c>
      <c r="J217" s="17" t="str">
        <f>IFERROR(VLOOKUP(C217,Merchants!$A$2:$D$41,3,FALSE),"Merchant not found")</f>
        <v>grocery</v>
      </c>
      <c r="K217" s="17" t="str">
        <f>IFERROR(VLOOKUP(C217,Merchants!$A$2:$D$41,4,FALSE),"Merchant not found")</f>
        <v>East</v>
      </c>
      <c r="L217" s="19">
        <f>_xlfn.IFNA(HLOOKUP(F217,'MDR Rates'!$C$1:$F$2,2,FALSE),"N/A")</f>
        <v>0.01</v>
      </c>
      <c r="M217" s="20">
        <f t="shared" si="9"/>
        <v>46042</v>
      </c>
      <c r="N217" s="17">
        <f t="shared" si="11"/>
        <v>299</v>
      </c>
      <c r="O217" s="17">
        <f>GETPIVOTDATA("amount_inr",'Pivot Table'!$A$3,"merchant_name",I217,"Date",M217)</f>
        <v>299</v>
      </c>
      <c r="P217" s="17" t="str">
        <f t="shared" si="10"/>
        <v>Standard</v>
      </c>
    </row>
    <row r="218" spans="1:16">
      <c r="A218" s="17" t="s">
        <v>231</v>
      </c>
      <c r="B218" s="17">
        <v>221</v>
      </c>
      <c r="C218" s="17">
        <v>8</v>
      </c>
      <c r="D218" s="18">
        <v>46039.1402777778</v>
      </c>
      <c r="E218" s="17">
        <v>299</v>
      </c>
      <c r="F218" s="17" t="s">
        <v>12</v>
      </c>
      <c r="G218" s="17" t="s">
        <v>10</v>
      </c>
      <c r="H218" s="17">
        <v>36</v>
      </c>
      <c r="I218" s="17" t="str">
        <f>IFERROR(VLOOKUP(C218,Merchants!$A$2:$D$41,2,FALSE),"Merchant not found")</f>
        <v>Merchant_008</v>
      </c>
      <c r="J218" s="17" t="str">
        <f>IFERROR(VLOOKUP(C218,Merchants!$A$2:$D$41,3,FALSE),"Merchant not found")</f>
        <v>food_delivery</v>
      </c>
      <c r="K218" s="17" t="str">
        <f>IFERROR(VLOOKUP(C218,Merchants!$A$2:$D$41,4,FALSE),"Merchant not found")</f>
        <v>North</v>
      </c>
      <c r="L218" s="19">
        <f>_xlfn.IFNA(HLOOKUP(F218,'MDR Rates'!$C$1:$F$2,2,FALSE),"N/A")</f>
        <v>0</v>
      </c>
      <c r="M218" s="20">
        <f t="shared" si="9"/>
        <v>46039</v>
      </c>
      <c r="N218" s="17">
        <f t="shared" si="11"/>
        <v>348</v>
      </c>
      <c r="O218" s="17">
        <f>GETPIVOTDATA("amount_inr",'Pivot Table'!$A$3,"merchant_name",I218,"Date",M218)</f>
        <v>348</v>
      </c>
      <c r="P218" s="17" t="str">
        <f t="shared" si="10"/>
        <v>Standard</v>
      </c>
    </row>
    <row r="219" spans="1:16">
      <c r="A219" s="17" t="s">
        <v>232</v>
      </c>
      <c r="B219" s="17">
        <v>250</v>
      </c>
      <c r="C219" s="17">
        <v>34</v>
      </c>
      <c r="D219" s="18">
        <v>46044.9006944444</v>
      </c>
      <c r="E219" s="17">
        <v>299</v>
      </c>
      <c r="F219" s="17" t="s">
        <v>9</v>
      </c>
      <c r="G219" s="17" t="s">
        <v>10</v>
      </c>
      <c r="H219" s="17">
        <v>85</v>
      </c>
      <c r="I219" s="17" t="str">
        <f>IFERROR(VLOOKUP(C219,Merchants!$A$2:$D$41,2,FALSE),"Merchant not found")</f>
        <v>Merchant_034</v>
      </c>
      <c r="J219" s="17" t="str">
        <f>IFERROR(VLOOKUP(C219,Merchants!$A$2:$D$41,3,FALSE),"Merchant not found")</f>
        <v>travel</v>
      </c>
      <c r="K219" s="17" t="str">
        <f>IFERROR(VLOOKUP(C219,Merchants!$A$2:$D$41,4,FALSE),"Merchant not found")</f>
        <v>South</v>
      </c>
      <c r="L219" s="19">
        <f>_xlfn.IFNA(HLOOKUP(F219,'MDR Rates'!$C$1:$F$2,2,FALSE),"N/A")</f>
        <v>0.01</v>
      </c>
      <c r="M219" s="20">
        <f t="shared" si="9"/>
        <v>46044</v>
      </c>
      <c r="N219" s="17">
        <f t="shared" si="11"/>
        <v>299</v>
      </c>
      <c r="O219" s="17">
        <f>GETPIVOTDATA("amount_inr",'Pivot Table'!$A$3,"merchant_name",I219,"Date",M219)</f>
        <v>299</v>
      </c>
      <c r="P219" s="17" t="str">
        <f t="shared" si="10"/>
        <v>Standard</v>
      </c>
    </row>
    <row r="220" spans="1:16">
      <c r="A220" s="17" t="s">
        <v>233</v>
      </c>
      <c r="B220" s="17">
        <v>203</v>
      </c>
      <c r="C220" s="17">
        <v>39</v>
      </c>
      <c r="D220" s="18">
        <v>46032.0513888889</v>
      </c>
      <c r="E220" s="17">
        <v>49</v>
      </c>
      <c r="F220" s="17" t="s">
        <v>12</v>
      </c>
      <c r="G220" s="17" t="s">
        <v>10</v>
      </c>
      <c r="H220" s="17">
        <v>7</v>
      </c>
      <c r="I220" s="17" t="str">
        <f>IFERROR(VLOOKUP(C220,Merchants!$A$2:$D$41,2,FALSE),"Merchant not found")</f>
        <v>Merchant_039</v>
      </c>
      <c r="J220" s="17" t="str">
        <f>IFERROR(VLOOKUP(C220,Merchants!$A$2:$D$41,3,FALSE),"Merchant not found")</f>
        <v>entertainment</v>
      </c>
      <c r="K220" s="17" t="str">
        <f>IFERROR(VLOOKUP(C220,Merchants!$A$2:$D$41,4,FALSE),"Merchant not found")</f>
        <v>North</v>
      </c>
      <c r="L220" s="19">
        <f>_xlfn.IFNA(HLOOKUP(F220,'MDR Rates'!$C$1:$F$2,2,FALSE),"N/A")</f>
        <v>0</v>
      </c>
      <c r="M220" s="20">
        <f t="shared" si="9"/>
        <v>46032</v>
      </c>
      <c r="N220" s="17">
        <f t="shared" si="11"/>
        <v>49</v>
      </c>
      <c r="O220" s="17">
        <f>GETPIVOTDATA("amount_inr",'Pivot Table'!$A$3,"merchant_name",I220,"Date",M220)</f>
        <v>49</v>
      </c>
      <c r="P220" s="17" t="str">
        <f t="shared" si="10"/>
        <v>Standard</v>
      </c>
    </row>
    <row r="221" spans="1:16">
      <c r="A221" s="17" t="s">
        <v>234</v>
      </c>
      <c r="B221" s="17">
        <v>109</v>
      </c>
      <c r="C221" s="17">
        <v>9</v>
      </c>
      <c r="D221" s="18">
        <v>46023.2631944444</v>
      </c>
      <c r="E221" s="17">
        <v>499</v>
      </c>
      <c r="F221" s="17" t="s">
        <v>9</v>
      </c>
      <c r="G221" s="17" t="s">
        <v>10</v>
      </c>
      <c r="H221" s="17">
        <v>97</v>
      </c>
      <c r="I221" s="17" t="str">
        <f>IFERROR(VLOOKUP(C221,Merchants!$A$2:$D$41,2,FALSE),"Merchant not found")</f>
        <v>Merchant_009</v>
      </c>
      <c r="J221" s="17" t="str">
        <f>IFERROR(VLOOKUP(C221,Merchants!$A$2:$D$41,3,FALSE),"Merchant not found")</f>
        <v>ecommerce</v>
      </c>
      <c r="K221" s="17" t="str">
        <f>IFERROR(VLOOKUP(C221,Merchants!$A$2:$D$41,4,FALSE),"Merchant not found")</f>
        <v>North</v>
      </c>
      <c r="L221" s="19">
        <f>_xlfn.IFNA(HLOOKUP(F221,'MDR Rates'!$C$1:$F$2,2,FALSE),"N/A")</f>
        <v>0.01</v>
      </c>
      <c r="M221" s="20">
        <f t="shared" si="9"/>
        <v>46023</v>
      </c>
      <c r="N221" s="17">
        <f t="shared" si="11"/>
        <v>499</v>
      </c>
      <c r="O221" s="17">
        <f>GETPIVOTDATA("amount_inr",'Pivot Table'!$A$3,"merchant_name",I221,"Date",M221)</f>
        <v>499</v>
      </c>
      <c r="P221" s="17" t="str">
        <f t="shared" si="10"/>
        <v>Standard</v>
      </c>
    </row>
    <row r="222" spans="1:16">
      <c r="A222" s="17" t="s">
        <v>235</v>
      </c>
      <c r="B222" s="17">
        <v>62</v>
      </c>
      <c r="C222" s="17">
        <v>1</v>
      </c>
      <c r="D222" s="18">
        <v>46031.3888888889</v>
      </c>
      <c r="E222" s="17">
        <v>4999</v>
      </c>
      <c r="F222" s="17" t="s">
        <v>9</v>
      </c>
      <c r="G222" s="17" t="s">
        <v>10</v>
      </c>
      <c r="H222" s="17">
        <v>63</v>
      </c>
      <c r="I222" s="17" t="str">
        <f>IFERROR(VLOOKUP(C222,Merchants!$A$2:$D$41,2,FALSE),"Merchant not found")</f>
        <v>Merchant_001</v>
      </c>
      <c r="J222" s="17" t="str">
        <f>IFERROR(VLOOKUP(C222,Merchants!$A$2:$D$41,3,FALSE),"Merchant not found")</f>
        <v>ecommerce</v>
      </c>
      <c r="K222" s="17" t="str">
        <f>IFERROR(VLOOKUP(C222,Merchants!$A$2:$D$41,4,FALSE),"Merchant not found")</f>
        <v>South</v>
      </c>
      <c r="L222" s="19">
        <f>_xlfn.IFNA(HLOOKUP(F222,'MDR Rates'!$C$1:$F$2,2,FALSE),"N/A")</f>
        <v>0.01</v>
      </c>
      <c r="M222" s="20">
        <f t="shared" si="9"/>
        <v>46031</v>
      </c>
      <c r="N222" s="17">
        <f t="shared" si="11"/>
        <v>5048</v>
      </c>
      <c r="O222" s="17">
        <f>GETPIVOTDATA("amount_inr",'Pivot Table'!$A$3,"merchant_name",I222,"Date",M222)</f>
        <v>5048</v>
      </c>
      <c r="P222" s="17" t="str">
        <f t="shared" si="10"/>
        <v>High-Value Merchant Day</v>
      </c>
    </row>
    <row r="223" spans="1:16">
      <c r="A223" s="17" t="s">
        <v>236</v>
      </c>
      <c r="B223" s="17">
        <v>67</v>
      </c>
      <c r="C223" s="17">
        <v>25</v>
      </c>
      <c r="D223" s="18">
        <v>46046.5493055556</v>
      </c>
      <c r="E223" s="17">
        <v>49</v>
      </c>
      <c r="F223" s="17" t="s">
        <v>12</v>
      </c>
      <c r="G223" s="17" t="s">
        <v>10</v>
      </c>
      <c r="H223" s="17">
        <v>68</v>
      </c>
      <c r="I223" s="17" t="str">
        <f>IFERROR(VLOOKUP(C223,Merchants!$A$2:$D$41,2,FALSE),"Merchant not found")</f>
        <v>Merchant_025</v>
      </c>
      <c r="J223" s="17" t="str">
        <f>IFERROR(VLOOKUP(C223,Merchants!$A$2:$D$41,3,FALSE),"Merchant not found")</f>
        <v>travel</v>
      </c>
      <c r="K223" s="17" t="str">
        <f>IFERROR(VLOOKUP(C223,Merchants!$A$2:$D$41,4,FALSE),"Merchant not found")</f>
        <v>South</v>
      </c>
      <c r="L223" s="19">
        <f>_xlfn.IFNA(HLOOKUP(F223,'MDR Rates'!$C$1:$F$2,2,FALSE),"N/A")</f>
        <v>0</v>
      </c>
      <c r="M223" s="20">
        <f t="shared" si="9"/>
        <v>46046</v>
      </c>
      <c r="N223" s="17">
        <f t="shared" si="11"/>
        <v>497</v>
      </c>
      <c r="O223" s="17">
        <f>GETPIVOTDATA("amount_inr",'Pivot Table'!$A$3,"merchant_name",I223,"Date",M223)</f>
        <v>497</v>
      </c>
      <c r="P223" s="17" t="str">
        <f t="shared" si="10"/>
        <v>Standard</v>
      </c>
    </row>
    <row r="224" spans="1:16">
      <c r="A224" s="17" t="s">
        <v>237</v>
      </c>
      <c r="B224" s="17">
        <v>287</v>
      </c>
      <c r="C224" s="17">
        <v>23</v>
      </c>
      <c r="D224" s="18">
        <v>46045.3138888889</v>
      </c>
      <c r="E224" s="17">
        <v>49</v>
      </c>
      <c r="F224" s="17" t="s">
        <v>12</v>
      </c>
      <c r="G224" s="17" t="s">
        <v>10</v>
      </c>
      <c r="H224" s="17">
        <v>9</v>
      </c>
      <c r="I224" s="17" t="str">
        <f>IFERROR(VLOOKUP(C224,Merchants!$A$2:$D$41,2,FALSE),"Merchant not found")</f>
        <v>Merchant_023</v>
      </c>
      <c r="J224" s="17" t="str">
        <f>IFERROR(VLOOKUP(C224,Merchants!$A$2:$D$41,3,FALSE),"Merchant not found")</f>
        <v>travel</v>
      </c>
      <c r="K224" s="17" t="str">
        <f>IFERROR(VLOOKUP(C224,Merchants!$A$2:$D$41,4,FALSE),"Merchant not found")</f>
        <v>North</v>
      </c>
      <c r="L224" s="19">
        <f>_xlfn.IFNA(HLOOKUP(F224,'MDR Rates'!$C$1:$F$2,2,FALSE),"N/A")</f>
        <v>0</v>
      </c>
      <c r="M224" s="20">
        <f t="shared" si="9"/>
        <v>46045</v>
      </c>
      <c r="N224" s="17">
        <f t="shared" si="11"/>
        <v>247</v>
      </c>
      <c r="O224" s="17">
        <f>GETPIVOTDATA("amount_inr",'Pivot Table'!$A$3,"merchant_name",I224,"Date",M224)</f>
        <v>247</v>
      </c>
      <c r="P224" s="17" t="str">
        <f t="shared" si="10"/>
        <v>Standard</v>
      </c>
    </row>
    <row r="225" spans="1:16">
      <c r="A225" s="17" t="s">
        <v>238</v>
      </c>
      <c r="B225" s="17">
        <v>224</v>
      </c>
      <c r="C225" s="17">
        <v>2</v>
      </c>
      <c r="D225" s="18">
        <v>46035.9597222222</v>
      </c>
      <c r="E225" s="17">
        <v>49</v>
      </c>
      <c r="F225" s="17" t="s">
        <v>24</v>
      </c>
      <c r="G225" s="17" t="s">
        <v>10</v>
      </c>
      <c r="H225" s="17">
        <v>58</v>
      </c>
      <c r="I225" s="17" t="str">
        <f>IFERROR(VLOOKUP(C225,Merchants!$A$2:$D$41,2,FALSE),"Merchant not found")</f>
        <v>Merchant_002</v>
      </c>
      <c r="J225" s="17" t="str">
        <f>IFERROR(VLOOKUP(C225,Merchants!$A$2:$D$41,3,FALSE),"Merchant not found")</f>
        <v>grocery</v>
      </c>
      <c r="K225" s="17" t="str">
        <f>IFERROR(VLOOKUP(C225,Merchants!$A$2:$D$41,4,FALSE),"Merchant not found")</f>
        <v>West</v>
      </c>
      <c r="L225" s="19">
        <f>_xlfn.IFNA(HLOOKUP(F225,'MDR Rates'!$C$1:$F$2,2,FALSE),"N/A")</f>
        <v>0.02</v>
      </c>
      <c r="M225" s="20">
        <f t="shared" si="9"/>
        <v>46035</v>
      </c>
      <c r="N225" s="17">
        <f t="shared" si="11"/>
        <v>49</v>
      </c>
      <c r="O225" s="17">
        <f>GETPIVOTDATA("amount_inr",'Pivot Table'!$A$3,"merchant_name",I225,"Date",M225)</f>
        <v>49</v>
      </c>
      <c r="P225" s="17" t="str">
        <f t="shared" si="10"/>
        <v>Standard</v>
      </c>
    </row>
    <row r="226" spans="1:16">
      <c r="A226" s="17" t="s">
        <v>239</v>
      </c>
      <c r="B226" s="17">
        <v>161</v>
      </c>
      <c r="C226" s="17">
        <v>37</v>
      </c>
      <c r="D226" s="18">
        <v>46052.1215277778</v>
      </c>
      <c r="E226" s="17">
        <v>299</v>
      </c>
      <c r="F226" s="17" t="s">
        <v>12</v>
      </c>
      <c r="G226" s="17" t="s">
        <v>10</v>
      </c>
      <c r="H226" s="17">
        <v>54</v>
      </c>
      <c r="I226" s="17" t="str">
        <f>IFERROR(VLOOKUP(C226,Merchants!$A$2:$D$41,2,FALSE),"Merchant not found")</f>
        <v>Merchant_037</v>
      </c>
      <c r="J226" s="17" t="str">
        <f>IFERROR(VLOOKUP(C226,Merchants!$A$2:$D$41,3,FALSE),"Merchant not found")</f>
        <v>entertainment</v>
      </c>
      <c r="K226" s="17" t="str">
        <f>IFERROR(VLOOKUP(C226,Merchants!$A$2:$D$41,4,FALSE),"Merchant not found")</f>
        <v>South</v>
      </c>
      <c r="L226" s="19">
        <f>_xlfn.IFNA(HLOOKUP(F226,'MDR Rates'!$C$1:$F$2,2,FALSE),"N/A")</f>
        <v>0</v>
      </c>
      <c r="M226" s="20">
        <f t="shared" si="9"/>
        <v>46052</v>
      </c>
      <c r="N226" s="17">
        <f t="shared" si="11"/>
        <v>299</v>
      </c>
      <c r="O226" s="17">
        <f>GETPIVOTDATA("amount_inr",'Pivot Table'!$A$3,"merchant_name",I226,"Date",M226)</f>
        <v>299</v>
      </c>
      <c r="P226" s="17" t="str">
        <f t="shared" si="10"/>
        <v>Standard</v>
      </c>
    </row>
    <row r="227" spans="1:16">
      <c r="A227" s="17" t="s">
        <v>240</v>
      </c>
      <c r="B227" s="17">
        <v>328</v>
      </c>
      <c r="C227" s="17">
        <v>27</v>
      </c>
      <c r="D227" s="18">
        <v>46041.53125</v>
      </c>
      <c r="E227" s="17">
        <v>49</v>
      </c>
      <c r="F227" s="17" t="s">
        <v>12</v>
      </c>
      <c r="G227" s="17" t="s">
        <v>38</v>
      </c>
      <c r="H227" s="17">
        <v>37</v>
      </c>
      <c r="I227" s="17" t="str">
        <f>IFERROR(VLOOKUP(C227,Merchants!$A$2:$D$41,2,FALSE),"Merchant not found")</f>
        <v>Merchant_027</v>
      </c>
      <c r="J227" s="17" t="str">
        <f>IFERROR(VLOOKUP(C227,Merchants!$A$2:$D$41,3,FALSE),"Merchant not found")</f>
        <v>ecommerce</v>
      </c>
      <c r="K227" s="17" t="str">
        <f>IFERROR(VLOOKUP(C227,Merchants!$A$2:$D$41,4,FALSE),"Merchant not found")</f>
        <v>North</v>
      </c>
      <c r="L227" s="19">
        <f>_xlfn.IFNA(HLOOKUP(F227,'MDR Rates'!$C$1:$F$2,2,FALSE),"N/A")</f>
        <v>0</v>
      </c>
      <c r="M227" s="20">
        <f t="shared" si="9"/>
        <v>46041</v>
      </c>
      <c r="N227" s="17">
        <f t="shared" si="11"/>
        <v>49</v>
      </c>
      <c r="O227" s="17">
        <f>GETPIVOTDATA("amount_inr",'Pivot Table'!$A$3,"merchant_name",I227,"Date",M227)</f>
        <v>49</v>
      </c>
      <c r="P227" s="17" t="str">
        <f t="shared" si="10"/>
        <v>Standard</v>
      </c>
    </row>
    <row r="228" spans="1:16">
      <c r="A228" s="17" t="s">
        <v>241</v>
      </c>
      <c r="B228" s="17">
        <v>167</v>
      </c>
      <c r="C228" s="17">
        <v>11</v>
      </c>
      <c r="D228" s="18">
        <v>46026.5006944444</v>
      </c>
      <c r="E228" s="17">
        <v>1499</v>
      </c>
      <c r="F228" s="17" t="s">
        <v>24</v>
      </c>
      <c r="G228" s="17" t="s">
        <v>25</v>
      </c>
      <c r="H228" s="17">
        <v>79</v>
      </c>
      <c r="I228" s="17" t="str">
        <f>IFERROR(VLOOKUP(C228,Merchants!$A$2:$D$41,2,FALSE),"Merchant not found")</f>
        <v>Merchant_011</v>
      </c>
      <c r="J228" s="17" t="str">
        <f>IFERROR(VLOOKUP(C228,Merchants!$A$2:$D$41,3,FALSE),"Merchant not found")</f>
        <v>ecommerce</v>
      </c>
      <c r="K228" s="17" t="str">
        <f>IFERROR(VLOOKUP(C228,Merchants!$A$2:$D$41,4,FALSE),"Merchant not found")</f>
        <v>North</v>
      </c>
      <c r="L228" s="19">
        <f>_xlfn.IFNA(HLOOKUP(F228,'MDR Rates'!$C$1:$F$2,2,FALSE),"N/A")</f>
        <v>0.02</v>
      </c>
      <c r="M228" s="20">
        <f t="shared" si="9"/>
        <v>46026</v>
      </c>
      <c r="N228" s="17">
        <f t="shared" si="11"/>
        <v>1499</v>
      </c>
      <c r="O228" s="17">
        <f>GETPIVOTDATA("amount_inr",'Pivot Table'!$A$3,"merchant_name",I228,"Date",M228)</f>
        <v>1499</v>
      </c>
      <c r="P228" s="17" t="str">
        <f t="shared" si="10"/>
        <v>Standard</v>
      </c>
    </row>
    <row r="229" spans="1:16">
      <c r="A229" s="17" t="s">
        <v>242</v>
      </c>
      <c r="B229" s="17">
        <v>186</v>
      </c>
      <c r="C229" s="17">
        <v>6</v>
      </c>
      <c r="D229" s="18">
        <v>46037.9569444444</v>
      </c>
      <c r="E229" s="17">
        <v>49</v>
      </c>
      <c r="F229" s="17" t="s">
        <v>9</v>
      </c>
      <c r="G229" s="17" t="s">
        <v>10</v>
      </c>
      <c r="H229" s="17">
        <v>55</v>
      </c>
      <c r="I229" s="17" t="str">
        <f>IFERROR(VLOOKUP(C229,Merchants!$A$2:$D$41,2,FALSE),"Merchant not found")</f>
        <v>Merchant_006</v>
      </c>
      <c r="J229" s="17" t="str">
        <f>IFERROR(VLOOKUP(C229,Merchants!$A$2:$D$41,3,FALSE),"Merchant not found")</f>
        <v>food_delivery</v>
      </c>
      <c r="K229" s="17" t="str">
        <f>IFERROR(VLOOKUP(C229,Merchants!$A$2:$D$41,4,FALSE),"Merchant not found")</f>
        <v>South</v>
      </c>
      <c r="L229" s="19">
        <f>_xlfn.IFNA(HLOOKUP(F229,'MDR Rates'!$C$1:$F$2,2,FALSE),"N/A")</f>
        <v>0.01</v>
      </c>
      <c r="M229" s="20">
        <f t="shared" si="9"/>
        <v>46037</v>
      </c>
      <c r="N229" s="17">
        <f t="shared" si="11"/>
        <v>49</v>
      </c>
      <c r="O229" s="17">
        <f>GETPIVOTDATA("amount_inr",'Pivot Table'!$A$3,"merchant_name",I229,"Date",M229)</f>
        <v>49</v>
      </c>
      <c r="P229" s="17" t="str">
        <f t="shared" si="10"/>
        <v>Standard</v>
      </c>
    </row>
    <row r="230" spans="1:16">
      <c r="A230" s="17" t="s">
        <v>243</v>
      </c>
      <c r="B230" s="17">
        <v>224</v>
      </c>
      <c r="C230" s="17">
        <v>38</v>
      </c>
      <c r="D230" s="18">
        <v>46050.1354166667</v>
      </c>
      <c r="E230" s="17">
        <v>299</v>
      </c>
      <c r="F230" s="17" t="s">
        <v>9</v>
      </c>
      <c r="G230" s="17" t="s">
        <v>25</v>
      </c>
      <c r="H230" s="17">
        <v>51</v>
      </c>
      <c r="I230" s="17" t="str">
        <f>IFERROR(VLOOKUP(C230,Merchants!$A$2:$D$41,2,FALSE),"Merchant not found")</f>
        <v>Merchant_038</v>
      </c>
      <c r="J230" s="17" t="str">
        <f>IFERROR(VLOOKUP(C230,Merchants!$A$2:$D$41,3,FALSE),"Merchant not found")</f>
        <v>grocery</v>
      </c>
      <c r="K230" s="17" t="str">
        <f>IFERROR(VLOOKUP(C230,Merchants!$A$2:$D$41,4,FALSE),"Merchant not found")</f>
        <v>East</v>
      </c>
      <c r="L230" s="19">
        <f>_xlfn.IFNA(HLOOKUP(F230,'MDR Rates'!$C$1:$F$2,2,FALSE),"N/A")</f>
        <v>0.01</v>
      </c>
      <c r="M230" s="20">
        <f t="shared" si="9"/>
        <v>46050</v>
      </c>
      <c r="N230" s="17">
        <f t="shared" si="11"/>
        <v>299</v>
      </c>
      <c r="O230" s="17">
        <f>GETPIVOTDATA("amount_inr",'Pivot Table'!$A$3,"merchant_name",I230,"Date",M230)</f>
        <v>299</v>
      </c>
      <c r="P230" s="17" t="str">
        <f t="shared" si="10"/>
        <v>Standard</v>
      </c>
    </row>
    <row r="231" spans="1:16">
      <c r="A231" s="17" t="s">
        <v>244</v>
      </c>
      <c r="B231" s="17">
        <v>159</v>
      </c>
      <c r="C231" s="17">
        <v>22</v>
      </c>
      <c r="D231" s="18">
        <v>46039.1006944444</v>
      </c>
      <c r="E231" s="17">
        <v>799</v>
      </c>
      <c r="F231" s="17" t="s">
        <v>12</v>
      </c>
      <c r="G231" s="17" t="s">
        <v>10</v>
      </c>
      <c r="H231" s="17">
        <v>28</v>
      </c>
      <c r="I231" s="17" t="str">
        <f>IFERROR(VLOOKUP(C231,Merchants!$A$2:$D$41,2,FALSE),"Merchant not found")</f>
        <v>Merchant_022</v>
      </c>
      <c r="J231" s="17" t="str">
        <f>IFERROR(VLOOKUP(C231,Merchants!$A$2:$D$41,3,FALSE),"Merchant not found")</f>
        <v>travel</v>
      </c>
      <c r="K231" s="17" t="str">
        <f>IFERROR(VLOOKUP(C231,Merchants!$A$2:$D$41,4,FALSE),"Merchant not found")</f>
        <v>South</v>
      </c>
      <c r="L231" s="19">
        <f>_xlfn.IFNA(HLOOKUP(F231,'MDR Rates'!$C$1:$F$2,2,FALSE),"N/A")</f>
        <v>0</v>
      </c>
      <c r="M231" s="20">
        <f t="shared" si="9"/>
        <v>46039</v>
      </c>
      <c r="N231" s="17">
        <f t="shared" si="11"/>
        <v>1598</v>
      </c>
      <c r="O231" s="17">
        <f>GETPIVOTDATA("amount_inr",'Pivot Table'!$A$3,"merchant_name",I231,"Date",M231)</f>
        <v>1598</v>
      </c>
      <c r="P231" s="17" t="str">
        <f t="shared" si="10"/>
        <v>Standard</v>
      </c>
    </row>
    <row r="232" spans="1:16">
      <c r="A232" s="17" t="s">
        <v>245</v>
      </c>
      <c r="B232" s="17">
        <v>262</v>
      </c>
      <c r="C232" s="17">
        <v>8</v>
      </c>
      <c r="D232" s="18">
        <v>46033.2111111111</v>
      </c>
      <c r="E232" s="17">
        <v>149</v>
      </c>
      <c r="F232" s="17" t="s">
        <v>12</v>
      </c>
      <c r="G232" s="17" t="s">
        <v>10</v>
      </c>
      <c r="H232" s="17">
        <v>67</v>
      </c>
      <c r="I232" s="17" t="str">
        <f>IFERROR(VLOOKUP(C232,Merchants!$A$2:$D$41,2,FALSE),"Merchant not found")</f>
        <v>Merchant_008</v>
      </c>
      <c r="J232" s="17" t="str">
        <f>IFERROR(VLOOKUP(C232,Merchants!$A$2:$D$41,3,FALSE),"Merchant not found")</f>
        <v>food_delivery</v>
      </c>
      <c r="K232" s="17" t="str">
        <f>IFERROR(VLOOKUP(C232,Merchants!$A$2:$D$41,4,FALSE),"Merchant not found")</f>
        <v>North</v>
      </c>
      <c r="L232" s="19">
        <f>_xlfn.IFNA(HLOOKUP(F232,'MDR Rates'!$C$1:$F$2,2,FALSE),"N/A")</f>
        <v>0</v>
      </c>
      <c r="M232" s="20">
        <f t="shared" si="9"/>
        <v>46033</v>
      </c>
      <c r="N232" s="17">
        <f t="shared" si="11"/>
        <v>149</v>
      </c>
      <c r="O232" s="17">
        <f>GETPIVOTDATA("amount_inr",'Pivot Table'!$A$3,"merchant_name",I232,"Date",M232)</f>
        <v>149</v>
      </c>
      <c r="P232" s="17" t="str">
        <f t="shared" si="10"/>
        <v>Standard</v>
      </c>
    </row>
    <row r="233" spans="1:16">
      <c r="A233" s="17" t="s">
        <v>246</v>
      </c>
      <c r="B233" s="17">
        <v>179</v>
      </c>
      <c r="C233" s="17">
        <v>23</v>
      </c>
      <c r="D233" s="18">
        <v>46039.2895833333</v>
      </c>
      <c r="E233" s="17">
        <v>49</v>
      </c>
      <c r="F233" s="17" t="s">
        <v>9</v>
      </c>
      <c r="G233" s="17" t="s">
        <v>10</v>
      </c>
      <c r="H233" s="17">
        <v>93</v>
      </c>
      <c r="I233" s="17" t="str">
        <f>IFERROR(VLOOKUP(C233,Merchants!$A$2:$D$41,2,FALSE),"Merchant not found")</f>
        <v>Merchant_023</v>
      </c>
      <c r="J233" s="17" t="str">
        <f>IFERROR(VLOOKUP(C233,Merchants!$A$2:$D$41,3,FALSE),"Merchant not found")</f>
        <v>travel</v>
      </c>
      <c r="K233" s="17" t="str">
        <f>IFERROR(VLOOKUP(C233,Merchants!$A$2:$D$41,4,FALSE),"Merchant not found")</f>
        <v>North</v>
      </c>
      <c r="L233" s="19">
        <f>_xlfn.IFNA(HLOOKUP(F233,'MDR Rates'!$C$1:$F$2,2,FALSE),"N/A")</f>
        <v>0.01</v>
      </c>
      <c r="M233" s="20">
        <f t="shared" si="9"/>
        <v>46039</v>
      </c>
      <c r="N233" s="17">
        <f t="shared" si="11"/>
        <v>49</v>
      </c>
      <c r="O233" s="17">
        <f>GETPIVOTDATA("amount_inr",'Pivot Table'!$A$3,"merchant_name",I233,"Date",M233)</f>
        <v>49</v>
      </c>
      <c r="P233" s="17" t="str">
        <f t="shared" si="10"/>
        <v>Standard</v>
      </c>
    </row>
    <row r="234" spans="1:16">
      <c r="A234" s="17" t="s">
        <v>247</v>
      </c>
      <c r="B234" s="17">
        <v>76</v>
      </c>
      <c r="C234" s="17">
        <v>16</v>
      </c>
      <c r="D234" s="18">
        <v>46049.8694444444</v>
      </c>
      <c r="E234" s="17">
        <v>299</v>
      </c>
      <c r="F234" s="17" t="s">
        <v>12</v>
      </c>
      <c r="G234" s="17" t="s">
        <v>10</v>
      </c>
      <c r="H234" s="17">
        <v>13</v>
      </c>
      <c r="I234" s="17" t="str">
        <f>IFERROR(VLOOKUP(C234,Merchants!$A$2:$D$41,2,FALSE),"Merchant not found")</f>
        <v>Merchant_016</v>
      </c>
      <c r="J234" s="17" t="str">
        <f>IFERROR(VLOOKUP(C234,Merchants!$A$2:$D$41,3,FALSE),"Merchant not found")</f>
        <v>bill_payment</v>
      </c>
      <c r="K234" s="17" t="str">
        <f>IFERROR(VLOOKUP(C234,Merchants!$A$2:$D$41,4,FALSE),"Merchant not found")</f>
        <v>West</v>
      </c>
      <c r="L234" s="19">
        <f>_xlfn.IFNA(HLOOKUP(F234,'MDR Rates'!$C$1:$F$2,2,FALSE),"N/A")</f>
        <v>0</v>
      </c>
      <c r="M234" s="20">
        <f t="shared" si="9"/>
        <v>46049</v>
      </c>
      <c r="N234" s="17">
        <f t="shared" si="11"/>
        <v>348</v>
      </c>
      <c r="O234" s="17">
        <f>GETPIVOTDATA("amount_inr",'Pivot Table'!$A$3,"merchant_name",I234,"Date",M234)</f>
        <v>348</v>
      </c>
      <c r="P234" s="17" t="str">
        <f t="shared" si="10"/>
        <v>Standard</v>
      </c>
    </row>
    <row r="235" spans="1:16">
      <c r="A235" s="17" t="s">
        <v>248</v>
      </c>
      <c r="B235" s="17">
        <v>89</v>
      </c>
      <c r="C235" s="17">
        <v>39</v>
      </c>
      <c r="D235" s="18">
        <v>46027.3416666667</v>
      </c>
      <c r="E235" s="17">
        <v>299</v>
      </c>
      <c r="F235" s="17" t="s">
        <v>12</v>
      </c>
      <c r="G235" s="17" t="s">
        <v>10</v>
      </c>
      <c r="H235" s="17">
        <v>19</v>
      </c>
      <c r="I235" s="17" t="str">
        <f>IFERROR(VLOOKUP(C235,Merchants!$A$2:$D$41,2,FALSE),"Merchant not found")</f>
        <v>Merchant_039</v>
      </c>
      <c r="J235" s="17" t="str">
        <f>IFERROR(VLOOKUP(C235,Merchants!$A$2:$D$41,3,FALSE),"Merchant not found")</f>
        <v>entertainment</v>
      </c>
      <c r="K235" s="17" t="str">
        <f>IFERROR(VLOOKUP(C235,Merchants!$A$2:$D$41,4,FALSE),"Merchant not found")</f>
        <v>North</v>
      </c>
      <c r="L235" s="19">
        <f>_xlfn.IFNA(HLOOKUP(F235,'MDR Rates'!$C$1:$F$2,2,FALSE),"N/A")</f>
        <v>0</v>
      </c>
      <c r="M235" s="20">
        <f t="shared" si="9"/>
        <v>46027</v>
      </c>
      <c r="N235" s="17">
        <f t="shared" si="11"/>
        <v>299</v>
      </c>
      <c r="O235" s="17">
        <f>GETPIVOTDATA("amount_inr",'Pivot Table'!$A$3,"merchant_name",I235,"Date",M235)</f>
        <v>299</v>
      </c>
      <c r="P235" s="17" t="str">
        <f t="shared" si="10"/>
        <v>Standard</v>
      </c>
    </row>
    <row r="236" spans="1:16">
      <c r="A236" s="17" t="s">
        <v>249</v>
      </c>
      <c r="B236" s="17">
        <v>91</v>
      </c>
      <c r="C236" s="17">
        <v>32</v>
      </c>
      <c r="D236" s="18">
        <v>46047.8361111111</v>
      </c>
      <c r="E236" s="17">
        <v>49</v>
      </c>
      <c r="F236" s="17" t="s">
        <v>12</v>
      </c>
      <c r="G236" s="17" t="s">
        <v>10</v>
      </c>
      <c r="H236" s="17">
        <v>59</v>
      </c>
      <c r="I236" s="17" t="str">
        <f>IFERROR(VLOOKUP(C236,Merchants!$A$2:$D$41,2,FALSE),"Merchant not found")</f>
        <v>Merchant_032</v>
      </c>
      <c r="J236" s="17" t="str">
        <f>IFERROR(VLOOKUP(C236,Merchants!$A$2:$D$41,3,FALSE),"Merchant not found")</f>
        <v>food_delivery</v>
      </c>
      <c r="K236" s="17" t="str">
        <f>IFERROR(VLOOKUP(C236,Merchants!$A$2:$D$41,4,FALSE),"Merchant not found")</f>
        <v>West</v>
      </c>
      <c r="L236" s="19">
        <f>_xlfn.IFNA(HLOOKUP(F236,'MDR Rates'!$C$1:$F$2,2,FALSE),"N/A")</f>
        <v>0</v>
      </c>
      <c r="M236" s="20">
        <f t="shared" si="9"/>
        <v>46047</v>
      </c>
      <c r="N236" s="17">
        <f t="shared" si="11"/>
        <v>49</v>
      </c>
      <c r="O236" s="17">
        <f>GETPIVOTDATA("amount_inr",'Pivot Table'!$A$3,"merchant_name",I236,"Date",M236)</f>
        <v>49</v>
      </c>
      <c r="P236" s="17" t="str">
        <f t="shared" si="10"/>
        <v>Standard</v>
      </c>
    </row>
    <row r="237" spans="1:16">
      <c r="A237" s="17" t="s">
        <v>250</v>
      </c>
      <c r="B237" s="17">
        <v>297</v>
      </c>
      <c r="C237" s="17">
        <v>29</v>
      </c>
      <c r="D237" s="18">
        <v>46047.7833333333</v>
      </c>
      <c r="E237" s="17">
        <v>99</v>
      </c>
      <c r="F237" s="17" t="s">
        <v>24</v>
      </c>
      <c r="G237" s="17" t="s">
        <v>38</v>
      </c>
      <c r="H237" s="17">
        <v>87</v>
      </c>
      <c r="I237" s="17" t="str">
        <f>IFERROR(VLOOKUP(C237,Merchants!$A$2:$D$41,2,FALSE),"Merchant not found")</f>
        <v>Merchant_029</v>
      </c>
      <c r="J237" s="17" t="str">
        <f>IFERROR(VLOOKUP(C237,Merchants!$A$2:$D$41,3,FALSE),"Merchant not found")</f>
        <v>ecommerce</v>
      </c>
      <c r="K237" s="17" t="str">
        <f>IFERROR(VLOOKUP(C237,Merchants!$A$2:$D$41,4,FALSE),"Merchant not found")</f>
        <v>North</v>
      </c>
      <c r="L237" s="19">
        <f>_xlfn.IFNA(HLOOKUP(F237,'MDR Rates'!$C$1:$F$2,2,FALSE),"N/A")</f>
        <v>0.02</v>
      </c>
      <c r="M237" s="20">
        <f t="shared" si="9"/>
        <v>46047</v>
      </c>
      <c r="N237" s="17">
        <f t="shared" si="11"/>
        <v>3896</v>
      </c>
      <c r="O237" s="17">
        <f>GETPIVOTDATA("amount_inr",'Pivot Table'!$A$3,"merchant_name",I237,"Date",M237)</f>
        <v>3896</v>
      </c>
      <c r="P237" s="17" t="str">
        <f t="shared" si="10"/>
        <v>Standard</v>
      </c>
    </row>
    <row r="238" spans="1:16">
      <c r="A238" s="17" t="s">
        <v>251</v>
      </c>
      <c r="B238" s="17">
        <v>326</v>
      </c>
      <c r="C238" s="17">
        <v>40</v>
      </c>
      <c r="D238" s="18">
        <v>46052.7784722222</v>
      </c>
      <c r="E238" s="17">
        <v>499</v>
      </c>
      <c r="F238" s="17" t="s">
        <v>24</v>
      </c>
      <c r="G238" s="17" t="s">
        <v>10</v>
      </c>
      <c r="H238" s="17">
        <v>41</v>
      </c>
      <c r="I238" s="17" t="str">
        <f>IFERROR(VLOOKUP(C238,Merchants!$A$2:$D$41,2,FALSE),"Merchant not found")</f>
        <v>Merchant_040</v>
      </c>
      <c r="J238" s="17" t="str">
        <f>IFERROR(VLOOKUP(C238,Merchants!$A$2:$D$41,3,FALSE),"Merchant not found")</f>
        <v>entertainment</v>
      </c>
      <c r="K238" s="17" t="str">
        <f>IFERROR(VLOOKUP(C238,Merchants!$A$2:$D$41,4,FALSE),"Merchant not found")</f>
        <v>South</v>
      </c>
      <c r="L238" s="19">
        <f>_xlfn.IFNA(HLOOKUP(F238,'MDR Rates'!$C$1:$F$2,2,FALSE),"N/A")</f>
        <v>0.02</v>
      </c>
      <c r="M238" s="20">
        <f t="shared" si="9"/>
        <v>46052</v>
      </c>
      <c r="N238" s="17">
        <f t="shared" si="11"/>
        <v>499</v>
      </c>
      <c r="O238" s="17">
        <f>GETPIVOTDATA("amount_inr",'Pivot Table'!$A$3,"merchant_name",I238,"Date",M238)</f>
        <v>499</v>
      </c>
      <c r="P238" s="17" t="str">
        <f t="shared" si="10"/>
        <v>Standard</v>
      </c>
    </row>
    <row r="239" spans="1:16">
      <c r="A239" s="17" t="s">
        <v>252</v>
      </c>
      <c r="B239" s="17">
        <v>78</v>
      </c>
      <c r="C239" s="17">
        <v>29</v>
      </c>
      <c r="D239" s="18">
        <v>46050.8472222222</v>
      </c>
      <c r="E239" s="17">
        <v>149</v>
      </c>
      <c r="F239" s="17" t="s">
        <v>12</v>
      </c>
      <c r="G239" s="17" t="s">
        <v>10</v>
      </c>
      <c r="H239" s="17">
        <v>8</v>
      </c>
      <c r="I239" s="17" t="str">
        <f>IFERROR(VLOOKUP(C239,Merchants!$A$2:$D$41,2,FALSE),"Merchant not found")</f>
        <v>Merchant_029</v>
      </c>
      <c r="J239" s="17" t="str">
        <f>IFERROR(VLOOKUP(C239,Merchants!$A$2:$D$41,3,FALSE),"Merchant not found")</f>
        <v>ecommerce</v>
      </c>
      <c r="K239" s="17" t="str">
        <f>IFERROR(VLOOKUP(C239,Merchants!$A$2:$D$41,4,FALSE),"Merchant not found")</f>
        <v>North</v>
      </c>
      <c r="L239" s="19">
        <f>_xlfn.IFNA(HLOOKUP(F239,'MDR Rates'!$C$1:$F$2,2,FALSE),"N/A")</f>
        <v>0</v>
      </c>
      <c r="M239" s="20">
        <f t="shared" si="9"/>
        <v>46050</v>
      </c>
      <c r="N239" s="17">
        <f t="shared" si="11"/>
        <v>149</v>
      </c>
      <c r="O239" s="17">
        <f>GETPIVOTDATA("amount_inr",'Pivot Table'!$A$3,"merchant_name",I239,"Date",M239)</f>
        <v>149</v>
      </c>
      <c r="P239" s="17" t="str">
        <f t="shared" si="10"/>
        <v>Standard</v>
      </c>
    </row>
    <row r="240" spans="1:16">
      <c r="A240" s="17" t="s">
        <v>253</v>
      </c>
      <c r="B240" s="17">
        <v>156</v>
      </c>
      <c r="C240" s="17">
        <v>18</v>
      </c>
      <c r="D240" s="18">
        <v>46038.6111111111</v>
      </c>
      <c r="E240" s="17">
        <v>2999</v>
      </c>
      <c r="F240" s="17" t="s">
        <v>24</v>
      </c>
      <c r="G240" s="17" t="s">
        <v>10</v>
      </c>
      <c r="H240" s="17">
        <v>75</v>
      </c>
      <c r="I240" s="17" t="str">
        <f>IFERROR(VLOOKUP(C240,Merchants!$A$2:$D$41,2,FALSE),"Merchant not found")</f>
        <v>Merchant_018</v>
      </c>
      <c r="J240" s="17" t="str">
        <f>IFERROR(VLOOKUP(C240,Merchants!$A$2:$D$41,3,FALSE),"Merchant not found")</f>
        <v>grocery</v>
      </c>
      <c r="K240" s="17" t="str">
        <f>IFERROR(VLOOKUP(C240,Merchants!$A$2:$D$41,4,FALSE),"Merchant not found")</f>
        <v>West</v>
      </c>
      <c r="L240" s="19">
        <f>_xlfn.IFNA(HLOOKUP(F240,'MDR Rates'!$C$1:$F$2,2,FALSE),"N/A")</f>
        <v>0.02</v>
      </c>
      <c r="M240" s="20">
        <f t="shared" si="9"/>
        <v>46038</v>
      </c>
      <c r="N240" s="17">
        <f t="shared" si="11"/>
        <v>3148</v>
      </c>
      <c r="O240" s="17">
        <f>GETPIVOTDATA("amount_inr",'Pivot Table'!$A$3,"merchant_name",I240,"Date",M240)</f>
        <v>3148</v>
      </c>
      <c r="P240" s="17" t="str">
        <f t="shared" si="10"/>
        <v>Standard</v>
      </c>
    </row>
    <row r="241" spans="1:16">
      <c r="A241" s="17" t="s">
        <v>254</v>
      </c>
      <c r="B241" s="17">
        <v>38</v>
      </c>
      <c r="C241" s="17">
        <v>20</v>
      </c>
      <c r="D241" s="18">
        <v>46024.4805555556</v>
      </c>
      <c r="E241" s="17">
        <v>49</v>
      </c>
      <c r="F241" s="17" t="s">
        <v>9</v>
      </c>
      <c r="G241" s="17" t="s">
        <v>25</v>
      </c>
      <c r="H241" s="17">
        <v>59</v>
      </c>
      <c r="I241" s="17" t="str">
        <f>IFERROR(VLOOKUP(C241,Merchants!$A$2:$D$41,2,FALSE),"Merchant not found")</f>
        <v>Merchant_020</v>
      </c>
      <c r="J241" s="17" t="str">
        <f>IFERROR(VLOOKUP(C241,Merchants!$A$2:$D$41,3,FALSE),"Merchant not found")</f>
        <v>food_delivery</v>
      </c>
      <c r="K241" s="17" t="str">
        <f>IFERROR(VLOOKUP(C241,Merchants!$A$2:$D$41,4,FALSE),"Merchant not found")</f>
        <v>East</v>
      </c>
      <c r="L241" s="19">
        <f>_xlfn.IFNA(HLOOKUP(F241,'MDR Rates'!$C$1:$F$2,2,FALSE),"N/A")</f>
        <v>0.01</v>
      </c>
      <c r="M241" s="20">
        <f t="shared" si="9"/>
        <v>46024</v>
      </c>
      <c r="N241" s="17">
        <f t="shared" si="11"/>
        <v>49</v>
      </c>
      <c r="O241" s="17">
        <f>GETPIVOTDATA("amount_inr",'Pivot Table'!$A$3,"merchant_name",I241,"Date",M241)</f>
        <v>49</v>
      </c>
      <c r="P241" s="17" t="str">
        <f t="shared" si="10"/>
        <v>Standard</v>
      </c>
    </row>
    <row r="242" spans="1:16">
      <c r="A242" s="17" t="s">
        <v>255</v>
      </c>
      <c r="B242" s="17">
        <v>189</v>
      </c>
      <c r="C242" s="17">
        <v>19</v>
      </c>
      <c r="D242" s="18">
        <v>46037.04375</v>
      </c>
      <c r="E242" s="17">
        <v>99</v>
      </c>
      <c r="F242" s="17" t="s">
        <v>12</v>
      </c>
      <c r="G242" s="17" t="s">
        <v>25</v>
      </c>
      <c r="H242" s="17">
        <v>9</v>
      </c>
      <c r="I242" s="17" t="str">
        <f>IFERROR(VLOOKUP(C242,Merchants!$A$2:$D$41,2,FALSE),"Merchant not found")</f>
        <v>Merchant_019</v>
      </c>
      <c r="J242" s="17" t="str">
        <f>IFERROR(VLOOKUP(C242,Merchants!$A$2:$D$41,3,FALSE),"Merchant not found")</f>
        <v>grocery</v>
      </c>
      <c r="K242" s="17" t="str">
        <f>IFERROR(VLOOKUP(C242,Merchants!$A$2:$D$41,4,FALSE),"Merchant not found")</f>
        <v>North</v>
      </c>
      <c r="L242" s="19">
        <f>_xlfn.IFNA(HLOOKUP(F242,'MDR Rates'!$C$1:$F$2,2,FALSE),"N/A")</f>
        <v>0</v>
      </c>
      <c r="M242" s="20">
        <f t="shared" si="9"/>
        <v>46037</v>
      </c>
      <c r="N242" s="17">
        <f t="shared" si="11"/>
        <v>398</v>
      </c>
      <c r="O242" s="17">
        <f>GETPIVOTDATA("amount_inr",'Pivot Table'!$A$3,"merchant_name",I242,"Date",M242)</f>
        <v>398</v>
      </c>
      <c r="P242" s="17" t="str">
        <f t="shared" si="10"/>
        <v>Standard</v>
      </c>
    </row>
    <row r="243" spans="1:16">
      <c r="A243" s="17" t="s">
        <v>256</v>
      </c>
      <c r="B243" s="17">
        <v>305</v>
      </c>
      <c r="C243" s="17">
        <v>33</v>
      </c>
      <c r="D243" s="18">
        <v>46043.1104166667</v>
      </c>
      <c r="E243" s="17">
        <v>299</v>
      </c>
      <c r="F243" s="17" t="s">
        <v>24</v>
      </c>
      <c r="G243" s="17" t="s">
        <v>10</v>
      </c>
      <c r="H243" s="17">
        <v>49</v>
      </c>
      <c r="I243" s="17" t="str">
        <f>IFERROR(VLOOKUP(C243,Merchants!$A$2:$D$41,2,FALSE),"Merchant not found")</f>
        <v>Merchant_033</v>
      </c>
      <c r="J243" s="17" t="str">
        <f>IFERROR(VLOOKUP(C243,Merchants!$A$2:$D$41,3,FALSE),"Merchant not found")</f>
        <v>bill_payment</v>
      </c>
      <c r="K243" s="17" t="str">
        <f>IFERROR(VLOOKUP(C243,Merchants!$A$2:$D$41,4,FALSE),"Merchant not found")</f>
        <v>East</v>
      </c>
      <c r="L243" s="19">
        <f>_xlfn.IFNA(HLOOKUP(F243,'MDR Rates'!$C$1:$F$2,2,FALSE),"N/A")</f>
        <v>0.02</v>
      </c>
      <c r="M243" s="20">
        <f t="shared" si="9"/>
        <v>46043</v>
      </c>
      <c r="N243" s="17">
        <f t="shared" si="11"/>
        <v>3298</v>
      </c>
      <c r="O243" s="17">
        <f>GETPIVOTDATA("amount_inr",'Pivot Table'!$A$3,"merchant_name",I243,"Date",M243)</f>
        <v>3298</v>
      </c>
      <c r="P243" s="17" t="str">
        <f t="shared" si="10"/>
        <v>Standard</v>
      </c>
    </row>
    <row r="244" spans="1:16">
      <c r="A244" s="17" t="s">
        <v>257</v>
      </c>
      <c r="B244" s="17">
        <v>22</v>
      </c>
      <c r="C244" s="17">
        <v>29</v>
      </c>
      <c r="D244" s="18">
        <v>46037.7743055556</v>
      </c>
      <c r="E244" s="17">
        <v>799</v>
      </c>
      <c r="F244" s="17" t="s">
        <v>12</v>
      </c>
      <c r="G244" s="17" t="s">
        <v>10</v>
      </c>
      <c r="H244" s="17">
        <v>73</v>
      </c>
      <c r="I244" s="17" t="str">
        <f>IFERROR(VLOOKUP(C244,Merchants!$A$2:$D$41,2,FALSE),"Merchant not found")</f>
        <v>Merchant_029</v>
      </c>
      <c r="J244" s="17" t="str">
        <f>IFERROR(VLOOKUP(C244,Merchants!$A$2:$D$41,3,FALSE),"Merchant not found")</f>
        <v>ecommerce</v>
      </c>
      <c r="K244" s="17" t="str">
        <f>IFERROR(VLOOKUP(C244,Merchants!$A$2:$D$41,4,FALSE),"Merchant not found")</f>
        <v>North</v>
      </c>
      <c r="L244" s="19">
        <f>_xlfn.IFNA(HLOOKUP(F244,'MDR Rates'!$C$1:$F$2,2,FALSE),"N/A")</f>
        <v>0</v>
      </c>
      <c r="M244" s="20">
        <f t="shared" si="9"/>
        <v>46037</v>
      </c>
      <c r="N244" s="17">
        <f t="shared" si="11"/>
        <v>1098</v>
      </c>
      <c r="O244" s="17">
        <f>GETPIVOTDATA("amount_inr",'Pivot Table'!$A$3,"merchant_name",I244,"Date",M244)</f>
        <v>1098</v>
      </c>
      <c r="P244" s="17" t="str">
        <f t="shared" si="10"/>
        <v>Standard</v>
      </c>
    </row>
    <row r="245" spans="1:16">
      <c r="A245" s="17" t="s">
        <v>258</v>
      </c>
      <c r="B245" s="17">
        <v>310</v>
      </c>
      <c r="C245" s="17">
        <v>31</v>
      </c>
      <c r="D245" s="18">
        <v>46043.2638888889</v>
      </c>
      <c r="E245" s="17">
        <v>49</v>
      </c>
      <c r="F245" s="17" t="s">
        <v>24</v>
      </c>
      <c r="G245" s="17" t="s">
        <v>10</v>
      </c>
      <c r="H245" s="17">
        <v>64</v>
      </c>
      <c r="I245" s="17" t="str">
        <f>IFERROR(VLOOKUP(C245,Merchants!$A$2:$D$41,2,FALSE),"Merchant not found")</f>
        <v>Merchant_031</v>
      </c>
      <c r="J245" s="17" t="str">
        <f>IFERROR(VLOOKUP(C245,Merchants!$A$2:$D$41,3,FALSE),"Merchant not found")</f>
        <v>bill_payment</v>
      </c>
      <c r="K245" s="17" t="str">
        <f>IFERROR(VLOOKUP(C245,Merchants!$A$2:$D$41,4,FALSE),"Merchant not found")</f>
        <v>East</v>
      </c>
      <c r="L245" s="19">
        <f>_xlfn.IFNA(HLOOKUP(F245,'MDR Rates'!$C$1:$F$2,2,FALSE),"N/A")</f>
        <v>0.02</v>
      </c>
      <c r="M245" s="20">
        <f t="shared" si="9"/>
        <v>46043</v>
      </c>
      <c r="N245" s="17">
        <f t="shared" si="11"/>
        <v>49</v>
      </c>
      <c r="O245" s="17">
        <f>GETPIVOTDATA("amount_inr",'Pivot Table'!$A$3,"merchant_name",I245,"Date",M245)</f>
        <v>49</v>
      </c>
      <c r="P245" s="17" t="str">
        <f t="shared" si="10"/>
        <v>Standard</v>
      </c>
    </row>
    <row r="246" spans="1:16">
      <c r="A246" s="17" t="s">
        <v>259</v>
      </c>
      <c r="B246" s="17">
        <v>53</v>
      </c>
      <c r="C246" s="17">
        <v>22</v>
      </c>
      <c r="D246" s="18">
        <v>46027.0611111111</v>
      </c>
      <c r="E246" s="17">
        <v>299</v>
      </c>
      <c r="F246" s="17" t="s">
        <v>12</v>
      </c>
      <c r="G246" s="17" t="s">
        <v>10</v>
      </c>
      <c r="H246" s="17">
        <v>91</v>
      </c>
      <c r="I246" s="17" t="str">
        <f>IFERROR(VLOOKUP(C246,Merchants!$A$2:$D$41,2,FALSE),"Merchant not found")</f>
        <v>Merchant_022</v>
      </c>
      <c r="J246" s="17" t="str">
        <f>IFERROR(VLOOKUP(C246,Merchants!$A$2:$D$41,3,FALSE),"Merchant not found")</f>
        <v>travel</v>
      </c>
      <c r="K246" s="17" t="str">
        <f>IFERROR(VLOOKUP(C246,Merchants!$A$2:$D$41,4,FALSE),"Merchant not found")</f>
        <v>South</v>
      </c>
      <c r="L246" s="19">
        <f>_xlfn.IFNA(HLOOKUP(F246,'MDR Rates'!$C$1:$F$2,2,FALSE),"N/A")</f>
        <v>0</v>
      </c>
      <c r="M246" s="20">
        <f t="shared" si="9"/>
        <v>46027</v>
      </c>
      <c r="N246" s="17">
        <f t="shared" si="11"/>
        <v>448</v>
      </c>
      <c r="O246" s="17">
        <f>GETPIVOTDATA("amount_inr",'Pivot Table'!$A$3,"merchant_name",I246,"Date",M246)</f>
        <v>448</v>
      </c>
      <c r="P246" s="17" t="str">
        <f t="shared" si="10"/>
        <v>Standard</v>
      </c>
    </row>
    <row r="247" spans="1:16">
      <c r="A247" s="17" t="s">
        <v>260</v>
      </c>
      <c r="B247" s="17">
        <v>89</v>
      </c>
      <c r="C247" s="17">
        <v>3</v>
      </c>
      <c r="D247" s="18">
        <v>46025.6951388889</v>
      </c>
      <c r="E247" s="17">
        <v>149</v>
      </c>
      <c r="F247" s="17" t="s">
        <v>24</v>
      </c>
      <c r="G247" s="17" t="s">
        <v>10</v>
      </c>
      <c r="H247" s="17">
        <v>31</v>
      </c>
      <c r="I247" s="17" t="str">
        <f>IFERROR(VLOOKUP(C247,Merchants!$A$2:$D$41,2,FALSE),"Merchant not found")</f>
        <v>Merchant_003</v>
      </c>
      <c r="J247" s="17" t="str">
        <f>IFERROR(VLOOKUP(C247,Merchants!$A$2:$D$41,3,FALSE),"Merchant not found")</f>
        <v>grocery</v>
      </c>
      <c r="K247" s="17" t="str">
        <f>IFERROR(VLOOKUP(C247,Merchants!$A$2:$D$41,4,FALSE),"Merchant not found")</f>
        <v>East</v>
      </c>
      <c r="L247" s="19">
        <f>_xlfn.IFNA(HLOOKUP(F247,'MDR Rates'!$C$1:$F$2,2,FALSE),"N/A")</f>
        <v>0.02</v>
      </c>
      <c r="M247" s="20">
        <f t="shared" si="9"/>
        <v>46025</v>
      </c>
      <c r="N247" s="17">
        <f t="shared" si="11"/>
        <v>198</v>
      </c>
      <c r="O247" s="17">
        <f>GETPIVOTDATA("amount_inr",'Pivot Table'!$A$3,"merchant_name",I247,"Date",M247)</f>
        <v>198</v>
      </c>
      <c r="P247" s="17" t="str">
        <f t="shared" si="10"/>
        <v>Standard</v>
      </c>
    </row>
    <row r="248" spans="1:16">
      <c r="A248" s="17" t="s">
        <v>261</v>
      </c>
      <c r="B248" s="17">
        <v>269</v>
      </c>
      <c r="C248" s="17">
        <v>34</v>
      </c>
      <c r="D248" s="18">
        <v>46045.6027777778</v>
      </c>
      <c r="E248" s="17">
        <v>149</v>
      </c>
      <c r="F248" s="17" t="s">
        <v>12</v>
      </c>
      <c r="G248" s="17" t="s">
        <v>10</v>
      </c>
      <c r="H248" s="17">
        <v>78</v>
      </c>
      <c r="I248" s="17" t="str">
        <f>IFERROR(VLOOKUP(C248,Merchants!$A$2:$D$41,2,FALSE),"Merchant not found")</f>
        <v>Merchant_034</v>
      </c>
      <c r="J248" s="17" t="str">
        <f>IFERROR(VLOOKUP(C248,Merchants!$A$2:$D$41,3,FALSE),"Merchant not found")</f>
        <v>travel</v>
      </c>
      <c r="K248" s="17" t="str">
        <f>IFERROR(VLOOKUP(C248,Merchants!$A$2:$D$41,4,FALSE),"Merchant not found")</f>
        <v>South</v>
      </c>
      <c r="L248" s="19">
        <f>_xlfn.IFNA(HLOOKUP(F248,'MDR Rates'!$C$1:$F$2,2,FALSE),"N/A")</f>
        <v>0</v>
      </c>
      <c r="M248" s="20">
        <f t="shared" si="9"/>
        <v>46045</v>
      </c>
      <c r="N248" s="17">
        <f t="shared" si="11"/>
        <v>3148</v>
      </c>
      <c r="O248" s="17">
        <f>GETPIVOTDATA("amount_inr",'Pivot Table'!$A$3,"merchant_name",I248,"Date",M248)</f>
        <v>3148</v>
      </c>
      <c r="P248" s="17" t="str">
        <f t="shared" si="10"/>
        <v>Standard</v>
      </c>
    </row>
    <row r="249" spans="1:16">
      <c r="A249" s="17" t="s">
        <v>262</v>
      </c>
      <c r="B249" s="17">
        <v>145</v>
      </c>
      <c r="C249" s="17">
        <v>25</v>
      </c>
      <c r="D249" s="18">
        <v>46028.4743055556</v>
      </c>
      <c r="E249" s="17">
        <v>799</v>
      </c>
      <c r="F249" s="17" t="s">
        <v>12</v>
      </c>
      <c r="G249" s="17" t="s">
        <v>10</v>
      </c>
      <c r="H249" s="17">
        <v>52</v>
      </c>
      <c r="I249" s="17" t="str">
        <f>IFERROR(VLOOKUP(C249,Merchants!$A$2:$D$41,2,FALSE),"Merchant not found")</f>
        <v>Merchant_025</v>
      </c>
      <c r="J249" s="17" t="str">
        <f>IFERROR(VLOOKUP(C249,Merchants!$A$2:$D$41,3,FALSE),"Merchant not found")</f>
        <v>travel</v>
      </c>
      <c r="K249" s="17" t="str">
        <f>IFERROR(VLOOKUP(C249,Merchants!$A$2:$D$41,4,FALSE),"Merchant not found")</f>
        <v>South</v>
      </c>
      <c r="L249" s="19">
        <f>_xlfn.IFNA(HLOOKUP(F249,'MDR Rates'!$C$1:$F$2,2,FALSE),"N/A")</f>
        <v>0</v>
      </c>
      <c r="M249" s="20">
        <f t="shared" si="9"/>
        <v>46028</v>
      </c>
      <c r="N249" s="17">
        <f t="shared" si="11"/>
        <v>898</v>
      </c>
      <c r="O249" s="17">
        <f>GETPIVOTDATA("amount_inr",'Pivot Table'!$A$3,"merchant_name",I249,"Date",M249)</f>
        <v>898</v>
      </c>
      <c r="P249" s="17" t="str">
        <f t="shared" si="10"/>
        <v>Standard</v>
      </c>
    </row>
    <row r="250" spans="1:16">
      <c r="A250" s="17" t="s">
        <v>263</v>
      </c>
      <c r="B250" s="17">
        <v>307</v>
      </c>
      <c r="C250" s="17">
        <v>4</v>
      </c>
      <c r="D250" s="18">
        <v>46047.4465277778</v>
      </c>
      <c r="E250" s="17">
        <v>1499</v>
      </c>
      <c r="F250" s="17" t="s">
        <v>12</v>
      </c>
      <c r="G250" s="17" t="s">
        <v>10</v>
      </c>
      <c r="H250" s="17">
        <v>80</v>
      </c>
      <c r="I250" s="17" t="str">
        <f>IFERROR(VLOOKUP(C250,Merchants!$A$2:$D$41,2,FALSE),"Merchant not found")</f>
        <v>Merchant_004</v>
      </c>
      <c r="J250" s="17" t="str">
        <f>IFERROR(VLOOKUP(C250,Merchants!$A$2:$D$41,3,FALSE),"Merchant not found")</f>
        <v>ecommerce</v>
      </c>
      <c r="K250" s="17" t="str">
        <f>IFERROR(VLOOKUP(C250,Merchants!$A$2:$D$41,4,FALSE),"Merchant not found")</f>
        <v>East</v>
      </c>
      <c r="L250" s="19">
        <f>_xlfn.IFNA(HLOOKUP(F250,'MDR Rates'!$C$1:$F$2,2,FALSE),"N/A")</f>
        <v>0</v>
      </c>
      <c r="M250" s="20">
        <f t="shared" si="9"/>
        <v>46047</v>
      </c>
      <c r="N250" s="17">
        <f t="shared" si="11"/>
        <v>1998</v>
      </c>
      <c r="O250" s="17">
        <f>GETPIVOTDATA("amount_inr",'Pivot Table'!$A$3,"merchant_name",I250,"Date",M250)</f>
        <v>1998</v>
      </c>
      <c r="P250" s="17" t="str">
        <f t="shared" si="10"/>
        <v>Standard</v>
      </c>
    </row>
    <row r="251" spans="1:16">
      <c r="A251" s="17" t="s">
        <v>264</v>
      </c>
      <c r="B251" s="17">
        <v>169</v>
      </c>
      <c r="C251" s="17">
        <v>7</v>
      </c>
      <c r="D251" s="18">
        <v>46043.4194444444</v>
      </c>
      <c r="E251" s="17">
        <v>1499</v>
      </c>
      <c r="F251" s="17" t="s">
        <v>9</v>
      </c>
      <c r="G251" s="17" t="s">
        <v>10</v>
      </c>
      <c r="H251" s="17">
        <v>71</v>
      </c>
      <c r="I251" s="17" t="str">
        <f>IFERROR(VLOOKUP(C251,Merchants!$A$2:$D$41,2,FALSE),"Merchant not found")</f>
        <v>Merchant_007</v>
      </c>
      <c r="J251" s="17" t="str">
        <f>IFERROR(VLOOKUP(C251,Merchants!$A$2:$D$41,3,FALSE),"Merchant not found")</f>
        <v>food_delivery</v>
      </c>
      <c r="K251" s="17" t="str">
        <f>IFERROR(VLOOKUP(C251,Merchants!$A$2:$D$41,4,FALSE),"Merchant not found")</f>
        <v>East</v>
      </c>
      <c r="L251" s="19">
        <f>_xlfn.IFNA(HLOOKUP(F251,'MDR Rates'!$C$1:$F$2,2,FALSE),"N/A")</f>
        <v>0.01</v>
      </c>
      <c r="M251" s="20">
        <f t="shared" si="9"/>
        <v>46043</v>
      </c>
      <c r="N251" s="17">
        <f t="shared" si="11"/>
        <v>1499</v>
      </c>
      <c r="O251" s="17">
        <f>GETPIVOTDATA("amount_inr",'Pivot Table'!$A$3,"merchant_name",I251,"Date",M251)</f>
        <v>1499</v>
      </c>
      <c r="P251" s="17" t="str">
        <f t="shared" si="10"/>
        <v>Standard</v>
      </c>
    </row>
    <row r="252" spans="1:16">
      <c r="A252" s="17" t="s">
        <v>265</v>
      </c>
      <c r="B252" s="17">
        <v>130</v>
      </c>
      <c r="C252" s="17">
        <v>39</v>
      </c>
      <c r="D252" s="18">
        <v>46044.5125</v>
      </c>
      <c r="E252" s="17">
        <v>2999</v>
      </c>
      <c r="F252" s="17" t="s">
        <v>9</v>
      </c>
      <c r="G252" s="17" t="s">
        <v>10</v>
      </c>
      <c r="H252" s="17">
        <v>19</v>
      </c>
      <c r="I252" s="17" t="str">
        <f>IFERROR(VLOOKUP(C252,Merchants!$A$2:$D$41,2,FALSE),"Merchant not found")</f>
        <v>Merchant_039</v>
      </c>
      <c r="J252" s="17" t="str">
        <f>IFERROR(VLOOKUP(C252,Merchants!$A$2:$D$41,3,FALSE),"Merchant not found")</f>
        <v>entertainment</v>
      </c>
      <c r="K252" s="17" t="str">
        <f>IFERROR(VLOOKUP(C252,Merchants!$A$2:$D$41,4,FALSE),"Merchant not found")</f>
        <v>North</v>
      </c>
      <c r="L252" s="19">
        <f>_xlfn.IFNA(HLOOKUP(F252,'MDR Rates'!$C$1:$F$2,2,FALSE),"N/A")</f>
        <v>0.01</v>
      </c>
      <c r="M252" s="20">
        <f t="shared" si="9"/>
        <v>46044</v>
      </c>
      <c r="N252" s="17">
        <f t="shared" si="11"/>
        <v>9796</v>
      </c>
      <c r="O252" s="17">
        <f>GETPIVOTDATA("amount_inr",'Pivot Table'!$A$3,"merchant_name",I252,"Date",M252)</f>
        <v>9796</v>
      </c>
      <c r="P252" s="17" t="str">
        <f t="shared" si="10"/>
        <v>High-Value Merchant Day</v>
      </c>
    </row>
    <row r="253" spans="1:16">
      <c r="A253" s="17" t="s">
        <v>266</v>
      </c>
      <c r="B253" s="17">
        <v>340</v>
      </c>
      <c r="C253" s="17">
        <v>10</v>
      </c>
      <c r="D253" s="18">
        <v>46033.1090277778</v>
      </c>
      <c r="E253" s="17">
        <v>49</v>
      </c>
      <c r="F253" s="17" t="s">
        <v>24</v>
      </c>
      <c r="G253" s="17" t="s">
        <v>10</v>
      </c>
      <c r="H253" s="17">
        <v>44</v>
      </c>
      <c r="I253" s="17" t="str">
        <f>IFERROR(VLOOKUP(C253,Merchants!$A$2:$D$41,2,FALSE),"Merchant not found")</f>
        <v>Merchant_010</v>
      </c>
      <c r="J253" s="17" t="str">
        <f>IFERROR(VLOOKUP(C253,Merchants!$A$2:$D$41,3,FALSE),"Merchant not found")</f>
        <v>grocery</v>
      </c>
      <c r="K253" s="17" t="str">
        <f>IFERROR(VLOOKUP(C253,Merchants!$A$2:$D$41,4,FALSE),"Merchant not found")</f>
        <v>West</v>
      </c>
      <c r="L253" s="19">
        <f>_xlfn.IFNA(HLOOKUP(F253,'MDR Rates'!$C$1:$F$2,2,FALSE),"N/A")</f>
        <v>0.02</v>
      </c>
      <c r="M253" s="20">
        <f t="shared" si="9"/>
        <v>46033</v>
      </c>
      <c r="N253" s="17">
        <f t="shared" si="11"/>
        <v>98</v>
      </c>
      <c r="O253" s="17">
        <f>GETPIVOTDATA("amount_inr",'Pivot Table'!$A$3,"merchant_name",I253,"Date",M253)</f>
        <v>98</v>
      </c>
      <c r="P253" s="17" t="str">
        <f t="shared" si="10"/>
        <v>Standard</v>
      </c>
    </row>
    <row r="254" spans="1:16">
      <c r="A254" s="17" t="s">
        <v>267</v>
      </c>
      <c r="B254" s="17">
        <v>340</v>
      </c>
      <c r="C254" s="17">
        <v>26</v>
      </c>
      <c r="D254" s="18">
        <v>46032.8638888889</v>
      </c>
      <c r="E254" s="17">
        <v>299</v>
      </c>
      <c r="F254" s="17" t="s">
        <v>24</v>
      </c>
      <c r="G254" s="17" t="s">
        <v>10</v>
      </c>
      <c r="H254" s="17">
        <v>16</v>
      </c>
      <c r="I254" s="17" t="str">
        <f>IFERROR(VLOOKUP(C254,Merchants!$A$2:$D$41,2,FALSE),"Merchant not found")</f>
        <v>Merchant_026</v>
      </c>
      <c r="J254" s="17" t="str">
        <f>IFERROR(VLOOKUP(C254,Merchants!$A$2:$D$41,3,FALSE),"Merchant not found")</f>
        <v>food_delivery</v>
      </c>
      <c r="K254" s="17" t="str">
        <f>IFERROR(VLOOKUP(C254,Merchants!$A$2:$D$41,4,FALSE),"Merchant not found")</f>
        <v>East</v>
      </c>
      <c r="L254" s="19">
        <f>_xlfn.IFNA(HLOOKUP(F254,'MDR Rates'!$C$1:$F$2,2,FALSE),"N/A")</f>
        <v>0.02</v>
      </c>
      <c r="M254" s="20">
        <f t="shared" si="9"/>
        <v>46032</v>
      </c>
      <c r="N254" s="17">
        <f t="shared" si="11"/>
        <v>299</v>
      </c>
      <c r="O254" s="17">
        <f>GETPIVOTDATA("amount_inr",'Pivot Table'!$A$3,"merchant_name",I254,"Date",M254)</f>
        <v>299</v>
      </c>
      <c r="P254" s="17" t="str">
        <f t="shared" si="10"/>
        <v>Standard</v>
      </c>
    </row>
    <row r="255" spans="1:16">
      <c r="A255" s="17" t="s">
        <v>268</v>
      </c>
      <c r="B255" s="17">
        <v>159</v>
      </c>
      <c r="C255" s="17">
        <v>36</v>
      </c>
      <c r="D255" s="18">
        <v>46042.9201388889</v>
      </c>
      <c r="E255" s="17">
        <v>49</v>
      </c>
      <c r="F255" s="17" t="s">
        <v>12</v>
      </c>
      <c r="G255" s="17" t="s">
        <v>10</v>
      </c>
      <c r="H255" s="17">
        <v>48</v>
      </c>
      <c r="I255" s="17" t="str">
        <f>IFERROR(VLOOKUP(C255,Merchants!$A$2:$D$41,2,FALSE),"Merchant not found")</f>
        <v>Merchant_036</v>
      </c>
      <c r="J255" s="17" t="str">
        <f>IFERROR(VLOOKUP(C255,Merchants!$A$2:$D$41,3,FALSE),"Merchant not found")</f>
        <v>entertainment</v>
      </c>
      <c r="K255" s="17" t="str">
        <f>IFERROR(VLOOKUP(C255,Merchants!$A$2:$D$41,4,FALSE),"Merchant not found")</f>
        <v>East</v>
      </c>
      <c r="L255" s="19">
        <f>_xlfn.IFNA(HLOOKUP(F255,'MDR Rates'!$C$1:$F$2,2,FALSE),"N/A")</f>
        <v>0</v>
      </c>
      <c r="M255" s="20">
        <f t="shared" si="9"/>
        <v>46042</v>
      </c>
      <c r="N255" s="17">
        <f t="shared" si="11"/>
        <v>49</v>
      </c>
      <c r="O255" s="17">
        <f>GETPIVOTDATA("amount_inr",'Pivot Table'!$A$3,"merchant_name",I255,"Date",M255)</f>
        <v>49</v>
      </c>
      <c r="P255" s="17" t="str">
        <f t="shared" si="10"/>
        <v>Standard</v>
      </c>
    </row>
    <row r="256" spans="1:16">
      <c r="A256" s="17" t="s">
        <v>269</v>
      </c>
      <c r="B256" s="17">
        <v>66</v>
      </c>
      <c r="C256" s="17">
        <v>34</v>
      </c>
      <c r="D256" s="18">
        <v>46043.4527777778</v>
      </c>
      <c r="E256" s="17">
        <v>799</v>
      </c>
      <c r="F256" s="17" t="s">
        <v>12</v>
      </c>
      <c r="G256" s="17" t="s">
        <v>10</v>
      </c>
      <c r="H256" s="17">
        <v>11</v>
      </c>
      <c r="I256" s="17" t="str">
        <f>IFERROR(VLOOKUP(C256,Merchants!$A$2:$D$41,2,FALSE),"Merchant not found")</f>
        <v>Merchant_034</v>
      </c>
      <c r="J256" s="17" t="str">
        <f>IFERROR(VLOOKUP(C256,Merchants!$A$2:$D$41,3,FALSE),"Merchant not found")</f>
        <v>travel</v>
      </c>
      <c r="K256" s="17" t="str">
        <f>IFERROR(VLOOKUP(C256,Merchants!$A$2:$D$41,4,FALSE),"Merchant not found")</f>
        <v>South</v>
      </c>
      <c r="L256" s="19">
        <f>_xlfn.IFNA(HLOOKUP(F256,'MDR Rates'!$C$1:$F$2,2,FALSE),"N/A")</f>
        <v>0</v>
      </c>
      <c r="M256" s="20">
        <f t="shared" si="9"/>
        <v>46043</v>
      </c>
      <c r="N256" s="17">
        <f t="shared" si="11"/>
        <v>799</v>
      </c>
      <c r="O256" s="17">
        <f>GETPIVOTDATA("amount_inr",'Pivot Table'!$A$3,"merchant_name",I256,"Date",M256)</f>
        <v>799</v>
      </c>
      <c r="P256" s="17" t="str">
        <f t="shared" si="10"/>
        <v>Standard</v>
      </c>
    </row>
    <row r="257" spans="1:16">
      <c r="A257" s="17" t="s">
        <v>270</v>
      </c>
      <c r="B257" s="17">
        <v>261</v>
      </c>
      <c r="C257" s="17">
        <v>24</v>
      </c>
      <c r="D257" s="18">
        <v>46043.89375</v>
      </c>
      <c r="E257" s="17">
        <v>799</v>
      </c>
      <c r="F257" s="17" t="s">
        <v>24</v>
      </c>
      <c r="G257" s="17" t="s">
        <v>10</v>
      </c>
      <c r="H257" s="17">
        <v>2</v>
      </c>
      <c r="I257" s="17" t="str">
        <f>IFERROR(VLOOKUP(C257,Merchants!$A$2:$D$41,2,FALSE),"Merchant not found")</f>
        <v>Merchant_024</v>
      </c>
      <c r="J257" s="17" t="str">
        <f>IFERROR(VLOOKUP(C257,Merchants!$A$2:$D$41,3,FALSE),"Merchant not found")</f>
        <v>grocery</v>
      </c>
      <c r="K257" s="17" t="str">
        <f>IFERROR(VLOOKUP(C257,Merchants!$A$2:$D$41,4,FALSE),"Merchant not found")</f>
        <v>North</v>
      </c>
      <c r="L257" s="19">
        <f>_xlfn.IFNA(HLOOKUP(F257,'MDR Rates'!$C$1:$F$2,2,FALSE),"N/A")</f>
        <v>0.02</v>
      </c>
      <c r="M257" s="20">
        <f t="shared" si="9"/>
        <v>46043</v>
      </c>
      <c r="N257" s="17">
        <f t="shared" si="11"/>
        <v>799</v>
      </c>
      <c r="O257" s="17">
        <f>GETPIVOTDATA("amount_inr",'Pivot Table'!$A$3,"merchant_name",I257,"Date",M257)</f>
        <v>799</v>
      </c>
      <c r="P257" s="17" t="str">
        <f t="shared" si="10"/>
        <v>Standard</v>
      </c>
    </row>
    <row r="258" spans="1:16">
      <c r="A258" s="17" t="s">
        <v>271</v>
      </c>
      <c r="B258" s="17">
        <v>110</v>
      </c>
      <c r="C258" s="17">
        <v>22</v>
      </c>
      <c r="D258" s="18">
        <v>46034.3826388889</v>
      </c>
      <c r="E258" s="17">
        <v>799</v>
      </c>
      <c r="F258" s="17" t="s">
        <v>12</v>
      </c>
      <c r="G258" s="17" t="s">
        <v>10</v>
      </c>
      <c r="H258" s="17">
        <v>98</v>
      </c>
      <c r="I258" s="17" t="str">
        <f>IFERROR(VLOOKUP(C258,Merchants!$A$2:$D$41,2,FALSE),"Merchant not found")</f>
        <v>Merchant_022</v>
      </c>
      <c r="J258" s="17" t="str">
        <f>IFERROR(VLOOKUP(C258,Merchants!$A$2:$D$41,3,FALSE),"Merchant not found")</f>
        <v>travel</v>
      </c>
      <c r="K258" s="17" t="str">
        <f>IFERROR(VLOOKUP(C258,Merchants!$A$2:$D$41,4,FALSE),"Merchant not found")</f>
        <v>South</v>
      </c>
      <c r="L258" s="19">
        <f>_xlfn.IFNA(HLOOKUP(F258,'MDR Rates'!$C$1:$F$2,2,FALSE),"N/A")</f>
        <v>0</v>
      </c>
      <c r="M258" s="20">
        <f t="shared" si="9"/>
        <v>46034</v>
      </c>
      <c r="N258" s="17">
        <f t="shared" si="11"/>
        <v>1697</v>
      </c>
      <c r="O258" s="17">
        <f>GETPIVOTDATA("amount_inr",'Pivot Table'!$A$3,"merchant_name",I258,"Date",M258)</f>
        <v>1697</v>
      </c>
      <c r="P258" s="17" t="str">
        <f t="shared" si="10"/>
        <v>Standard</v>
      </c>
    </row>
    <row r="259" spans="1:16">
      <c r="A259" s="17" t="s">
        <v>272</v>
      </c>
      <c r="B259" s="17">
        <v>71</v>
      </c>
      <c r="C259" s="17">
        <v>10</v>
      </c>
      <c r="D259" s="18">
        <v>46038.2597222222</v>
      </c>
      <c r="E259" s="17">
        <v>49</v>
      </c>
      <c r="F259" s="17" t="s">
        <v>12</v>
      </c>
      <c r="G259" s="17" t="s">
        <v>10</v>
      </c>
      <c r="H259" s="17">
        <v>9</v>
      </c>
      <c r="I259" s="17" t="str">
        <f>IFERROR(VLOOKUP(C259,Merchants!$A$2:$D$41,2,FALSE),"Merchant not found")</f>
        <v>Merchant_010</v>
      </c>
      <c r="J259" s="17" t="str">
        <f>IFERROR(VLOOKUP(C259,Merchants!$A$2:$D$41,3,FALSE),"Merchant not found")</f>
        <v>grocery</v>
      </c>
      <c r="K259" s="17" t="str">
        <f>IFERROR(VLOOKUP(C259,Merchants!$A$2:$D$41,4,FALSE),"Merchant not found")</f>
        <v>West</v>
      </c>
      <c r="L259" s="19">
        <f>_xlfn.IFNA(HLOOKUP(F259,'MDR Rates'!$C$1:$F$2,2,FALSE),"N/A")</f>
        <v>0</v>
      </c>
      <c r="M259" s="20">
        <f t="shared" ref="M259:M322" si="12">INT(D259)</f>
        <v>46038</v>
      </c>
      <c r="N259" s="17">
        <f t="shared" si="11"/>
        <v>49</v>
      </c>
      <c r="O259" s="17">
        <f>GETPIVOTDATA("amount_inr",'Pivot Table'!$A$3,"merchant_name",I259,"Date",M259)</f>
        <v>49</v>
      </c>
      <c r="P259" s="17" t="str">
        <f t="shared" ref="P259:P322" si="13">IF(AND(O259&gt;5000,K259&lt;&gt;"East"),"High-Value Merchant Day","Standard")</f>
        <v>Standard</v>
      </c>
    </row>
    <row r="260" spans="1:16">
      <c r="A260" s="17" t="s">
        <v>273</v>
      </c>
      <c r="B260" s="17">
        <v>277</v>
      </c>
      <c r="C260" s="17">
        <v>34</v>
      </c>
      <c r="D260" s="18">
        <v>46032.1472222222</v>
      </c>
      <c r="E260" s="17">
        <v>49</v>
      </c>
      <c r="F260" s="17" t="s">
        <v>12</v>
      </c>
      <c r="G260" s="17" t="s">
        <v>10</v>
      </c>
      <c r="H260" s="17">
        <v>4</v>
      </c>
      <c r="I260" s="17" t="str">
        <f>IFERROR(VLOOKUP(C260,Merchants!$A$2:$D$41,2,FALSE),"Merchant not found")</f>
        <v>Merchant_034</v>
      </c>
      <c r="J260" s="17" t="str">
        <f>IFERROR(VLOOKUP(C260,Merchants!$A$2:$D$41,3,FALSE),"Merchant not found")</f>
        <v>travel</v>
      </c>
      <c r="K260" s="17" t="str">
        <f>IFERROR(VLOOKUP(C260,Merchants!$A$2:$D$41,4,FALSE),"Merchant not found")</f>
        <v>South</v>
      </c>
      <c r="L260" s="19">
        <f>_xlfn.IFNA(HLOOKUP(F260,'MDR Rates'!$C$1:$F$2,2,FALSE),"N/A")</f>
        <v>0</v>
      </c>
      <c r="M260" s="20">
        <f t="shared" si="12"/>
        <v>46032</v>
      </c>
      <c r="N260" s="17">
        <f t="shared" si="11"/>
        <v>49</v>
      </c>
      <c r="O260" s="17">
        <f>GETPIVOTDATA("amount_inr",'Pivot Table'!$A$3,"merchant_name",I260,"Date",M260)</f>
        <v>49</v>
      </c>
      <c r="P260" s="17" t="str">
        <f t="shared" si="13"/>
        <v>Standard</v>
      </c>
    </row>
    <row r="261" spans="1:16">
      <c r="A261" s="17" t="s">
        <v>274</v>
      </c>
      <c r="B261" s="17">
        <v>317</v>
      </c>
      <c r="C261" s="17">
        <v>9</v>
      </c>
      <c r="D261" s="18">
        <v>46044.4555555556</v>
      </c>
      <c r="E261" s="17">
        <v>499</v>
      </c>
      <c r="F261" s="17" t="s">
        <v>9</v>
      </c>
      <c r="G261" s="17" t="s">
        <v>10</v>
      </c>
      <c r="H261" s="17">
        <v>76</v>
      </c>
      <c r="I261" s="17" t="str">
        <f>IFERROR(VLOOKUP(C261,Merchants!$A$2:$D$41,2,FALSE),"Merchant not found")</f>
        <v>Merchant_009</v>
      </c>
      <c r="J261" s="17" t="str">
        <f>IFERROR(VLOOKUP(C261,Merchants!$A$2:$D$41,3,FALSE),"Merchant not found")</f>
        <v>ecommerce</v>
      </c>
      <c r="K261" s="17" t="str">
        <f>IFERROR(VLOOKUP(C261,Merchants!$A$2:$D$41,4,FALSE),"Merchant not found")</f>
        <v>North</v>
      </c>
      <c r="L261" s="19">
        <f>_xlfn.IFNA(HLOOKUP(F261,'MDR Rates'!$C$1:$F$2,2,FALSE),"N/A")</f>
        <v>0.01</v>
      </c>
      <c r="M261" s="20">
        <f t="shared" si="12"/>
        <v>46044</v>
      </c>
      <c r="N261" s="17">
        <f t="shared" ref="N261:N324" si="14">SUMIFS($E$2:$E$548,$C$2:$C$548,C261,$M$2:$M$548,M261)</f>
        <v>1298</v>
      </c>
      <c r="O261" s="17">
        <f>GETPIVOTDATA("amount_inr",'Pivot Table'!$A$3,"merchant_name",I261,"Date",M261)</f>
        <v>1298</v>
      </c>
      <c r="P261" s="17" t="str">
        <f t="shared" si="13"/>
        <v>Standard</v>
      </c>
    </row>
    <row r="262" spans="1:16">
      <c r="A262" s="17" t="s">
        <v>275</v>
      </c>
      <c r="B262" s="17">
        <v>93</v>
      </c>
      <c r="C262" s="17">
        <v>40</v>
      </c>
      <c r="D262" s="18">
        <v>46035.1736111111</v>
      </c>
      <c r="E262" s="17">
        <v>299</v>
      </c>
      <c r="F262" s="17" t="s">
        <v>12</v>
      </c>
      <c r="G262" s="17" t="s">
        <v>10</v>
      </c>
      <c r="H262" s="17">
        <v>21</v>
      </c>
      <c r="I262" s="17" t="str">
        <f>IFERROR(VLOOKUP(C262,Merchants!$A$2:$D$41,2,FALSE),"Merchant not found")</f>
        <v>Merchant_040</v>
      </c>
      <c r="J262" s="17" t="str">
        <f>IFERROR(VLOOKUP(C262,Merchants!$A$2:$D$41,3,FALSE),"Merchant not found")</f>
        <v>entertainment</v>
      </c>
      <c r="K262" s="17" t="str">
        <f>IFERROR(VLOOKUP(C262,Merchants!$A$2:$D$41,4,FALSE),"Merchant not found")</f>
        <v>South</v>
      </c>
      <c r="L262" s="19">
        <f>_xlfn.IFNA(HLOOKUP(F262,'MDR Rates'!$C$1:$F$2,2,FALSE),"N/A")</f>
        <v>0</v>
      </c>
      <c r="M262" s="20">
        <f t="shared" si="12"/>
        <v>46035</v>
      </c>
      <c r="N262" s="17">
        <f t="shared" si="14"/>
        <v>299</v>
      </c>
      <c r="O262" s="17">
        <f>GETPIVOTDATA("amount_inr",'Pivot Table'!$A$3,"merchant_name",I262,"Date",M262)</f>
        <v>299</v>
      </c>
      <c r="P262" s="17" t="str">
        <f t="shared" si="13"/>
        <v>Standard</v>
      </c>
    </row>
    <row r="263" spans="1:16">
      <c r="A263" s="17" t="s">
        <v>276</v>
      </c>
      <c r="B263" s="17">
        <v>211</v>
      </c>
      <c r="C263" s="17">
        <v>24</v>
      </c>
      <c r="D263" s="18">
        <v>46046.5847222222</v>
      </c>
      <c r="E263" s="17">
        <v>99</v>
      </c>
      <c r="F263" s="17" t="s">
        <v>15</v>
      </c>
      <c r="G263" s="17" t="s">
        <v>10</v>
      </c>
      <c r="H263" s="17">
        <v>86</v>
      </c>
      <c r="I263" s="17" t="str">
        <f>IFERROR(VLOOKUP(C263,Merchants!$A$2:$D$41,2,FALSE),"Merchant not found")</f>
        <v>Merchant_024</v>
      </c>
      <c r="J263" s="17" t="str">
        <f>IFERROR(VLOOKUP(C263,Merchants!$A$2:$D$41,3,FALSE),"Merchant not found")</f>
        <v>grocery</v>
      </c>
      <c r="K263" s="17" t="str">
        <f>IFERROR(VLOOKUP(C263,Merchants!$A$2:$D$41,4,FALSE),"Merchant not found")</f>
        <v>North</v>
      </c>
      <c r="L263" s="19">
        <f>_xlfn.IFNA(HLOOKUP(F263,'MDR Rates'!$C$1:$F$2,2,FALSE),"N/A")</f>
        <v>0.015</v>
      </c>
      <c r="M263" s="20">
        <f t="shared" si="12"/>
        <v>46046</v>
      </c>
      <c r="N263" s="17">
        <f t="shared" si="14"/>
        <v>148</v>
      </c>
      <c r="O263" s="17">
        <f>GETPIVOTDATA("amount_inr",'Pivot Table'!$A$3,"merchant_name",I263,"Date",M263)</f>
        <v>148</v>
      </c>
      <c r="P263" s="17" t="str">
        <f t="shared" si="13"/>
        <v>Standard</v>
      </c>
    </row>
    <row r="264" spans="1:16">
      <c r="A264" s="17" t="s">
        <v>277</v>
      </c>
      <c r="B264" s="17">
        <v>313</v>
      </c>
      <c r="C264" s="17">
        <v>19</v>
      </c>
      <c r="D264" s="18">
        <v>46046.3111111111</v>
      </c>
      <c r="E264" s="17">
        <v>149</v>
      </c>
      <c r="F264" s="17" t="s">
        <v>12</v>
      </c>
      <c r="G264" s="17" t="s">
        <v>10</v>
      </c>
      <c r="H264" s="17">
        <v>96</v>
      </c>
      <c r="I264" s="17" t="str">
        <f>IFERROR(VLOOKUP(C264,Merchants!$A$2:$D$41,2,FALSE),"Merchant not found")</f>
        <v>Merchant_019</v>
      </c>
      <c r="J264" s="17" t="str">
        <f>IFERROR(VLOOKUP(C264,Merchants!$A$2:$D$41,3,FALSE),"Merchant not found")</f>
        <v>grocery</v>
      </c>
      <c r="K264" s="17" t="str">
        <f>IFERROR(VLOOKUP(C264,Merchants!$A$2:$D$41,4,FALSE),"Merchant not found")</f>
        <v>North</v>
      </c>
      <c r="L264" s="19">
        <f>_xlfn.IFNA(HLOOKUP(F264,'MDR Rates'!$C$1:$F$2,2,FALSE),"N/A")</f>
        <v>0</v>
      </c>
      <c r="M264" s="20">
        <f t="shared" si="12"/>
        <v>46046</v>
      </c>
      <c r="N264" s="17">
        <f t="shared" si="14"/>
        <v>149</v>
      </c>
      <c r="O264" s="17">
        <f>GETPIVOTDATA("amount_inr",'Pivot Table'!$A$3,"merchant_name",I264,"Date",M264)</f>
        <v>149</v>
      </c>
      <c r="P264" s="17" t="str">
        <f t="shared" si="13"/>
        <v>Standard</v>
      </c>
    </row>
    <row r="265" spans="1:16">
      <c r="A265" s="17" t="s">
        <v>278</v>
      </c>
      <c r="B265" s="17">
        <v>274</v>
      </c>
      <c r="C265" s="17">
        <v>16</v>
      </c>
      <c r="D265" s="18">
        <v>46046.5930555556</v>
      </c>
      <c r="E265" s="17">
        <v>49</v>
      </c>
      <c r="F265" s="17" t="s">
        <v>9</v>
      </c>
      <c r="G265" s="17" t="s">
        <v>25</v>
      </c>
      <c r="H265" s="17">
        <v>39</v>
      </c>
      <c r="I265" s="17" t="str">
        <f>IFERROR(VLOOKUP(C265,Merchants!$A$2:$D$41,2,FALSE),"Merchant not found")</f>
        <v>Merchant_016</v>
      </c>
      <c r="J265" s="17" t="str">
        <f>IFERROR(VLOOKUP(C265,Merchants!$A$2:$D$41,3,FALSE),"Merchant not found")</f>
        <v>bill_payment</v>
      </c>
      <c r="K265" s="17" t="str">
        <f>IFERROR(VLOOKUP(C265,Merchants!$A$2:$D$41,4,FALSE),"Merchant not found")</f>
        <v>West</v>
      </c>
      <c r="L265" s="19">
        <f>_xlfn.IFNA(HLOOKUP(F265,'MDR Rates'!$C$1:$F$2,2,FALSE),"N/A")</f>
        <v>0.01</v>
      </c>
      <c r="M265" s="20">
        <f t="shared" si="12"/>
        <v>46046</v>
      </c>
      <c r="N265" s="17">
        <f t="shared" si="14"/>
        <v>1548</v>
      </c>
      <c r="O265" s="17">
        <f>GETPIVOTDATA("amount_inr",'Pivot Table'!$A$3,"merchant_name",I265,"Date",M265)</f>
        <v>1548</v>
      </c>
      <c r="P265" s="17" t="str">
        <f t="shared" si="13"/>
        <v>Standard</v>
      </c>
    </row>
    <row r="266" spans="1:16">
      <c r="A266" s="17" t="s">
        <v>279</v>
      </c>
      <c r="B266" s="17">
        <v>100</v>
      </c>
      <c r="C266" s="17">
        <v>24</v>
      </c>
      <c r="D266" s="18">
        <v>46048.6645833333</v>
      </c>
      <c r="E266" s="17">
        <v>299</v>
      </c>
      <c r="F266" s="17" t="s">
        <v>12</v>
      </c>
      <c r="G266" s="17" t="s">
        <v>10</v>
      </c>
      <c r="H266" s="17">
        <v>86</v>
      </c>
      <c r="I266" s="17" t="str">
        <f>IFERROR(VLOOKUP(C266,Merchants!$A$2:$D$41,2,FALSE),"Merchant not found")</f>
        <v>Merchant_024</v>
      </c>
      <c r="J266" s="17" t="str">
        <f>IFERROR(VLOOKUP(C266,Merchants!$A$2:$D$41,3,FALSE),"Merchant not found")</f>
        <v>grocery</v>
      </c>
      <c r="K266" s="17" t="str">
        <f>IFERROR(VLOOKUP(C266,Merchants!$A$2:$D$41,4,FALSE),"Merchant not found")</f>
        <v>North</v>
      </c>
      <c r="L266" s="19">
        <f>_xlfn.IFNA(HLOOKUP(F266,'MDR Rates'!$C$1:$F$2,2,FALSE),"N/A")</f>
        <v>0</v>
      </c>
      <c r="M266" s="20">
        <f t="shared" si="12"/>
        <v>46048</v>
      </c>
      <c r="N266" s="17">
        <f t="shared" si="14"/>
        <v>348</v>
      </c>
      <c r="O266" s="17">
        <f>GETPIVOTDATA("amount_inr",'Pivot Table'!$A$3,"merchant_name",I266,"Date",M266)</f>
        <v>348</v>
      </c>
      <c r="P266" s="17" t="str">
        <f t="shared" si="13"/>
        <v>Standard</v>
      </c>
    </row>
    <row r="267" spans="1:16">
      <c r="A267" s="17" t="s">
        <v>280</v>
      </c>
      <c r="B267" s="17">
        <v>145</v>
      </c>
      <c r="C267" s="17">
        <v>25</v>
      </c>
      <c r="D267" s="18">
        <v>46041.6034722222</v>
      </c>
      <c r="E267" s="17">
        <v>2999</v>
      </c>
      <c r="F267" s="17" t="s">
        <v>9</v>
      </c>
      <c r="G267" s="17" t="s">
        <v>10</v>
      </c>
      <c r="H267" s="17">
        <v>64</v>
      </c>
      <c r="I267" s="17" t="str">
        <f>IFERROR(VLOOKUP(C267,Merchants!$A$2:$D$41,2,FALSE),"Merchant not found")</f>
        <v>Merchant_025</v>
      </c>
      <c r="J267" s="17" t="str">
        <f>IFERROR(VLOOKUP(C267,Merchants!$A$2:$D$41,3,FALSE),"Merchant not found")</f>
        <v>travel</v>
      </c>
      <c r="K267" s="17" t="str">
        <f>IFERROR(VLOOKUP(C267,Merchants!$A$2:$D$41,4,FALSE),"Merchant not found")</f>
        <v>South</v>
      </c>
      <c r="L267" s="19">
        <f>_xlfn.IFNA(HLOOKUP(F267,'MDR Rates'!$C$1:$F$2,2,FALSE),"N/A")</f>
        <v>0.01</v>
      </c>
      <c r="M267" s="20">
        <f t="shared" si="12"/>
        <v>46041</v>
      </c>
      <c r="N267" s="17">
        <f t="shared" si="14"/>
        <v>4498</v>
      </c>
      <c r="O267" s="17">
        <f>GETPIVOTDATA("amount_inr",'Pivot Table'!$A$3,"merchant_name",I267,"Date",M267)</f>
        <v>4498</v>
      </c>
      <c r="P267" s="17" t="str">
        <f t="shared" si="13"/>
        <v>Standard</v>
      </c>
    </row>
    <row r="268" spans="1:16">
      <c r="A268" s="17" t="s">
        <v>281</v>
      </c>
      <c r="B268" s="17">
        <v>103</v>
      </c>
      <c r="C268" s="17">
        <v>39</v>
      </c>
      <c r="D268" s="18">
        <v>46039.5486111111</v>
      </c>
      <c r="E268" s="17">
        <v>2999</v>
      </c>
      <c r="F268" s="17" t="s">
        <v>9</v>
      </c>
      <c r="G268" s="17" t="s">
        <v>10</v>
      </c>
      <c r="H268" s="17">
        <v>17</v>
      </c>
      <c r="I268" s="17" t="str">
        <f>IFERROR(VLOOKUP(C268,Merchants!$A$2:$D$41,2,FALSE),"Merchant not found")</f>
        <v>Merchant_039</v>
      </c>
      <c r="J268" s="17" t="str">
        <f>IFERROR(VLOOKUP(C268,Merchants!$A$2:$D$41,3,FALSE),"Merchant not found")</f>
        <v>entertainment</v>
      </c>
      <c r="K268" s="17" t="str">
        <f>IFERROR(VLOOKUP(C268,Merchants!$A$2:$D$41,4,FALSE),"Merchant not found")</f>
        <v>North</v>
      </c>
      <c r="L268" s="19">
        <f>_xlfn.IFNA(HLOOKUP(F268,'MDR Rates'!$C$1:$F$2,2,FALSE),"N/A")</f>
        <v>0.01</v>
      </c>
      <c r="M268" s="20">
        <f t="shared" si="12"/>
        <v>46039</v>
      </c>
      <c r="N268" s="17">
        <f t="shared" si="14"/>
        <v>2999</v>
      </c>
      <c r="O268" s="17">
        <f>GETPIVOTDATA("amount_inr",'Pivot Table'!$A$3,"merchant_name",I268,"Date",M268)</f>
        <v>2999</v>
      </c>
      <c r="P268" s="17" t="str">
        <f t="shared" si="13"/>
        <v>Standard</v>
      </c>
    </row>
    <row r="269" spans="1:16">
      <c r="A269" s="17" t="s">
        <v>282</v>
      </c>
      <c r="B269" s="17">
        <v>329</v>
      </c>
      <c r="C269" s="17">
        <v>31</v>
      </c>
      <c r="D269" s="18">
        <v>46050.3354166667</v>
      </c>
      <c r="E269" s="17">
        <v>299</v>
      </c>
      <c r="F269" s="17" t="s">
        <v>9</v>
      </c>
      <c r="G269" s="17" t="s">
        <v>10</v>
      </c>
      <c r="H269" s="17">
        <v>47</v>
      </c>
      <c r="I269" s="17" t="str">
        <f>IFERROR(VLOOKUP(C269,Merchants!$A$2:$D$41,2,FALSE),"Merchant not found")</f>
        <v>Merchant_031</v>
      </c>
      <c r="J269" s="17" t="str">
        <f>IFERROR(VLOOKUP(C269,Merchants!$A$2:$D$41,3,FALSE),"Merchant not found")</f>
        <v>bill_payment</v>
      </c>
      <c r="K269" s="17" t="str">
        <f>IFERROR(VLOOKUP(C269,Merchants!$A$2:$D$41,4,FALSE),"Merchant not found")</f>
        <v>East</v>
      </c>
      <c r="L269" s="19">
        <f>_xlfn.IFNA(HLOOKUP(F269,'MDR Rates'!$C$1:$F$2,2,FALSE),"N/A")</f>
        <v>0.01</v>
      </c>
      <c r="M269" s="20">
        <f t="shared" si="12"/>
        <v>46050</v>
      </c>
      <c r="N269" s="17">
        <f t="shared" si="14"/>
        <v>299</v>
      </c>
      <c r="O269" s="17">
        <f>GETPIVOTDATA("amount_inr",'Pivot Table'!$A$3,"merchant_name",I269,"Date",M269)</f>
        <v>299</v>
      </c>
      <c r="P269" s="17" t="str">
        <f t="shared" si="13"/>
        <v>Standard</v>
      </c>
    </row>
    <row r="270" spans="1:16">
      <c r="A270" s="17" t="s">
        <v>283</v>
      </c>
      <c r="B270" s="17">
        <v>265</v>
      </c>
      <c r="C270" s="17">
        <v>8</v>
      </c>
      <c r="D270" s="18">
        <v>46040.15625</v>
      </c>
      <c r="E270" s="17">
        <v>499</v>
      </c>
      <c r="F270" s="17" t="s">
        <v>15</v>
      </c>
      <c r="G270" s="17" t="s">
        <v>10</v>
      </c>
      <c r="H270" s="17">
        <v>36</v>
      </c>
      <c r="I270" s="17" t="str">
        <f>IFERROR(VLOOKUP(C270,Merchants!$A$2:$D$41,2,FALSE),"Merchant not found")</f>
        <v>Merchant_008</v>
      </c>
      <c r="J270" s="17" t="str">
        <f>IFERROR(VLOOKUP(C270,Merchants!$A$2:$D$41,3,FALSE),"Merchant not found")</f>
        <v>food_delivery</v>
      </c>
      <c r="K270" s="17" t="str">
        <f>IFERROR(VLOOKUP(C270,Merchants!$A$2:$D$41,4,FALSE),"Merchant not found")</f>
        <v>North</v>
      </c>
      <c r="L270" s="19">
        <f>_xlfn.IFNA(HLOOKUP(F270,'MDR Rates'!$C$1:$F$2,2,FALSE),"N/A")</f>
        <v>0.015</v>
      </c>
      <c r="M270" s="20">
        <f t="shared" si="12"/>
        <v>46040</v>
      </c>
      <c r="N270" s="17">
        <f t="shared" si="14"/>
        <v>499</v>
      </c>
      <c r="O270" s="17">
        <f>GETPIVOTDATA("amount_inr",'Pivot Table'!$A$3,"merchant_name",I270,"Date",M270)</f>
        <v>499</v>
      </c>
      <c r="P270" s="17" t="str">
        <f t="shared" si="13"/>
        <v>Standard</v>
      </c>
    </row>
    <row r="271" spans="1:16">
      <c r="A271" s="17" t="s">
        <v>284</v>
      </c>
      <c r="B271" s="17">
        <v>231</v>
      </c>
      <c r="C271" s="17">
        <v>33</v>
      </c>
      <c r="D271" s="18">
        <v>46025.2201388889</v>
      </c>
      <c r="E271" s="17">
        <v>149</v>
      </c>
      <c r="F271" s="17" t="s">
        <v>12</v>
      </c>
      <c r="G271" s="17" t="s">
        <v>25</v>
      </c>
      <c r="H271" s="17">
        <v>18</v>
      </c>
      <c r="I271" s="17" t="str">
        <f>IFERROR(VLOOKUP(C271,Merchants!$A$2:$D$41,2,FALSE),"Merchant not found")</f>
        <v>Merchant_033</v>
      </c>
      <c r="J271" s="17" t="str">
        <f>IFERROR(VLOOKUP(C271,Merchants!$A$2:$D$41,3,FALSE),"Merchant not found")</f>
        <v>bill_payment</v>
      </c>
      <c r="K271" s="17" t="str">
        <f>IFERROR(VLOOKUP(C271,Merchants!$A$2:$D$41,4,FALSE),"Merchant not found")</f>
        <v>East</v>
      </c>
      <c r="L271" s="19">
        <f>_xlfn.IFNA(HLOOKUP(F271,'MDR Rates'!$C$1:$F$2,2,FALSE),"N/A")</f>
        <v>0</v>
      </c>
      <c r="M271" s="20">
        <f t="shared" si="12"/>
        <v>46025</v>
      </c>
      <c r="N271" s="17">
        <f t="shared" si="14"/>
        <v>149</v>
      </c>
      <c r="O271" s="17">
        <f>GETPIVOTDATA("amount_inr",'Pivot Table'!$A$3,"merchant_name",I271,"Date",M271)</f>
        <v>149</v>
      </c>
      <c r="P271" s="17" t="str">
        <f t="shared" si="13"/>
        <v>Standard</v>
      </c>
    </row>
    <row r="272" spans="1:16">
      <c r="A272" s="17" t="s">
        <v>285</v>
      </c>
      <c r="B272" s="17">
        <v>114</v>
      </c>
      <c r="C272" s="17">
        <v>29</v>
      </c>
      <c r="D272" s="18">
        <v>46049.5451388889</v>
      </c>
      <c r="E272" s="17">
        <v>799</v>
      </c>
      <c r="F272" s="17" t="s">
        <v>12</v>
      </c>
      <c r="G272" s="17" t="s">
        <v>38</v>
      </c>
      <c r="H272" s="17">
        <v>44</v>
      </c>
      <c r="I272" s="17" t="str">
        <f>IFERROR(VLOOKUP(C272,Merchants!$A$2:$D$41,2,FALSE),"Merchant not found")</f>
        <v>Merchant_029</v>
      </c>
      <c r="J272" s="17" t="str">
        <f>IFERROR(VLOOKUP(C272,Merchants!$A$2:$D$41,3,FALSE),"Merchant not found")</f>
        <v>ecommerce</v>
      </c>
      <c r="K272" s="17" t="str">
        <f>IFERROR(VLOOKUP(C272,Merchants!$A$2:$D$41,4,FALSE),"Merchant not found")</f>
        <v>North</v>
      </c>
      <c r="L272" s="19">
        <f>_xlfn.IFNA(HLOOKUP(F272,'MDR Rates'!$C$1:$F$2,2,FALSE),"N/A")</f>
        <v>0</v>
      </c>
      <c r="M272" s="20">
        <f t="shared" si="12"/>
        <v>46049</v>
      </c>
      <c r="N272" s="17">
        <f t="shared" si="14"/>
        <v>898</v>
      </c>
      <c r="O272" s="17">
        <f>GETPIVOTDATA("amount_inr",'Pivot Table'!$A$3,"merchant_name",I272,"Date",M272)</f>
        <v>898</v>
      </c>
      <c r="P272" s="17" t="str">
        <f t="shared" si="13"/>
        <v>Standard</v>
      </c>
    </row>
    <row r="273" spans="1:16">
      <c r="A273" s="17" t="s">
        <v>286</v>
      </c>
      <c r="B273" s="17">
        <v>28</v>
      </c>
      <c r="C273" s="17">
        <v>26</v>
      </c>
      <c r="D273" s="18">
        <v>46052.0180555556</v>
      </c>
      <c r="E273" s="17">
        <v>1499</v>
      </c>
      <c r="F273" s="17" t="s">
        <v>12</v>
      </c>
      <c r="G273" s="17" t="s">
        <v>25</v>
      </c>
      <c r="H273" s="17">
        <v>64</v>
      </c>
      <c r="I273" s="17" t="str">
        <f>IFERROR(VLOOKUP(C273,Merchants!$A$2:$D$41,2,FALSE),"Merchant not found")</f>
        <v>Merchant_026</v>
      </c>
      <c r="J273" s="17" t="str">
        <f>IFERROR(VLOOKUP(C273,Merchants!$A$2:$D$41,3,FALSE),"Merchant not found")</f>
        <v>food_delivery</v>
      </c>
      <c r="K273" s="17" t="str">
        <f>IFERROR(VLOOKUP(C273,Merchants!$A$2:$D$41,4,FALSE),"Merchant not found")</f>
        <v>East</v>
      </c>
      <c r="L273" s="19">
        <f>_xlfn.IFNA(HLOOKUP(F273,'MDR Rates'!$C$1:$F$2,2,FALSE),"N/A")</f>
        <v>0</v>
      </c>
      <c r="M273" s="20">
        <f t="shared" si="12"/>
        <v>46052</v>
      </c>
      <c r="N273" s="17">
        <f t="shared" si="14"/>
        <v>1499</v>
      </c>
      <c r="O273" s="17">
        <f>GETPIVOTDATA("amount_inr",'Pivot Table'!$A$3,"merchant_name",I273,"Date",M273)</f>
        <v>1499</v>
      </c>
      <c r="P273" s="17" t="str">
        <f t="shared" si="13"/>
        <v>Standard</v>
      </c>
    </row>
    <row r="274" spans="1:16">
      <c r="A274" s="17" t="s">
        <v>287</v>
      </c>
      <c r="B274" s="17">
        <v>42</v>
      </c>
      <c r="C274" s="17">
        <v>24</v>
      </c>
      <c r="D274" s="18">
        <v>46034.3083333333</v>
      </c>
      <c r="E274" s="17">
        <v>149</v>
      </c>
      <c r="F274" s="17" t="s">
        <v>12</v>
      </c>
      <c r="G274" s="17" t="s">
        <v>10</v>
      </c>
      <c r="H274" s="17">
        <v>28</v>
      </c>
      <c r="I274" s="17" t="str">
        <f>IFERROR(VLOOKUP(C274,Merchants!$A$2:$D$41,2,FALSE),"Merchant not found")</f>
        <v>Merchant_024</v>
      </c>
      <c r="J274" s="17" t="str">
        <f>IFERROR(VLOOKUP(C274,Merchants!$A$2:$D$41,3,FALSE),"Merchant not found")</f>
        <v>grocery</v>
      </c>
      <c r="K274" s="17" t="str">
        <f>IFERROR(VLOOKUP(C274,Merchants!$A$2:$D$41,4,FALSE),"Merchant not found")</f>
        <v>North</v>
      </c>
      <c r="L274" s="19">
        <f>_xlfn.IFNA(HLOOKUP(F274,'MDR Rates'!$C$1:$F$2,2,FALSE),"N/A")</f>
        <v>0</v>
      </c>
      <c r="M274" s="20">
        <f t="shared" si="12"/>
        <v>46034</v>
      </c>
      <c r="N274" s="17">
        <f t="shared" si="14"/>
        <v>149</v>
      </c>
      <c r="O274" s="17">
        <f>GETPIVOTDATA("amount_inr",'Pivot Table'!$A$3,"merchant_name",I274,"Date",M274)</f>
        <v>149</v>
      </c>
      <c r="P274" s="17" t="str">
        <f t="shared" si="13"/>
        <v>Standard</v>
      </c>
    </row>
    <row r="275" spans="1:16">
      <c r="A275" s="17" t="s">
        <v>288</v>
      </c>
      <c r="B275" s="17">
        <v>51</v>
      </c>
      <c r="C275" s="17">
        <v>22</v>
      </c>
      <c r="D275" s="18">
        <v>46023.4576388889</v>
      </c>
      <c r="E275" s="17">
        <v>799</v>
      </c>
      <c r="F275" s="17" t="s">
        <v>12</v>
      </c>
      <c r="G275" s="17" t="s">
        <v>10</v>
      </c>
      <c r="H275" s="17">
        <v>18</v>
      </c>
      <c r="I275" s="17" t="str">
        <f>IFERROR(VLOOKUP(C275,Merchants!$A$2:$D$41,2,FALSE),"Merchant not found")</f>
        <v>Merchant_022</v>
      </c>
      <c r="J275" s="17" t="str">
        <f>IFERROR(VLOOKUP(C275,Merchants!$A$2:$D$41,3,FALSE),"Merchant not found")</f>
        <v>travel</v>
      </c>
      <c r="K275" s="17" t="str">
        <f>IFERROR(VLOOKUP(C275,Merchants!$A$2:$D$41,4,FALSE),"Merchant not found")</f>
        <v>South</v>
      </c>
      <c r="L275" s="19">
        <f>_xlfn.IFNA(HLOOKUP(F275,'MDR Rates'!$C$1:$F$2,2,FALSE),"N/A")</f>
        <v>0</v>
      </c>
      <c r="M275" s="20">
        <f t="shared" si="12"/>
        <v>46023</v>
      </c>
      <c r="N275" s="17">
        <f t="shared" si="14"/>
        <v>799</v>
      </c>
      <c r="O275" s="17">
        <f>GETPIVOTDATA("amount_inr",'Pivot Table'!$A$3,"merchant_name",I275,"Date",M275)</f>
        <v>799</v>
      </c>
      <c r="P275" s="17" t="str">
        <f t="shared" si="13"/>
        <v>Standard</v>
      </c>
    </row>
    <row r="276" spans="1:16">
      <c r="A276" s="17" t="s">
        <v>289</v>
      </c>
      <c r="B276" s="17">
        <v>242</v>
      </c>
      <c r="C276" s="17">
        <v>9</v>
      </c>
      <c r="D276" s="18">
        <v>46027.0541666667</v>
      </c>
      <c r="E276" s="17">
        <v>149</v>
      </c>
      <c r="F276" s="17" t="s">
        <v>12</v>
      </c>
      <c r="G276" s="17" t="s">
        <v>10</v>
      </c>
      <c r="H276" s="17">
        <v>97</v>
      </c>
      <c r="I276" s="17" t="str">
        <f>IFERROR(VLOOKUP(C276,Merchants!$A$2:$D$41,2,FALSE),"Merchant not found")</f>
        <v>Merchant_009</v>
      </c>
      <c r="J276" s="17" t="str">
        <f>IFERROR(VLOOKUP(C276,Merchants!$A$2:$D$41,3,FALSE),"Merchant not found")</f>
        <v>ecommerce</v>
      </c>
      <c r="K276" s="17" t="str">
        <f>IFERROR(VLOOKUP(C276,Merchants!$A$2:$D$41,4,FALSE),"Merchant not found")</f>
        <v>North</v>
      </c>
      <c r="L276" s="19">
        <f>_xlfn.IFNA(HLOOKUP(F276,'MDR Rates'!$C$1:$F$2,2,FALSE),"N/A")</f>
        <v>0</v>
      </c>
      <c r="M276" s="20">
        <f t="shared" si="12"/>
        <v>46027</v>
      </c>
      <c r="N276" s="17">
        <f t="shared" si="14"/>
        <v>149</v>
      </c>
      <c r="O276" s="17">
        <f>GETPIVOTDATA("amount_inr",'Pivot Table'!$A$3,"merchant_name",I276,"Date",M276)</f>
        <v>149</v>
      </c>
      <c r="P276" s="17" t="str">
        <f t="shared" si="13"/>
        <v>Standard</v>
      </c>
    </row>
    <row r="277" spans="1:16">
      <c r="A277" s="17" t="s">
        <v>290</v>
      </c>
      <c r="B277" s="17">
        <v>316</v>
      </c>
      <c r="C277" s="17">
        <v>1</v>
      </c>
      <c r="D277" s="18">
        <v>46045.6444444444</v>
      </c>
      <c r="E277" s="17">
        <v>149</v>
      </c>
      <c r="F277" s="17" t="s">
        <v>12</v>
      </c>
      <c r="G277" s="17" t="s">
        <v>10</v>
      </c>
      <c r="H277" s="17">
        <v>10</v>
      </c>
      <c r="I277" s="17" t="str">
        <f>IFERROR(VLOOKUP(C277,Merchants!$A$2:$D$41,2,FALSE),"Merchant not found")</f>
        <v>Merchant_001</v>
      </c>
      <c r="J277" s="17" t="str">
        <f>IFERROR(VLOOKUP(C277,Merchants!$A$2:$D$41,3,FALSE),"Merchant not found")</f>
        <v>ecommerce</v>
      </c>
      <c r="K277" s="17" t="str">
        <f>IFERROR(VLOOKUP(C277,Merchants!$A$2:$D$41,4,FALSE),"Merchant not found")</f>
        <v>South</v>
      </c>
      <c r="L277" s="19">
        <f>_xlfn.IFNA(HLOOKUP(F277,'MDR Rates'!$C$1:$F$2,2,FALSE),"N/A")</f>
        <v>0</v>
      </c>
      <c r="M277" s="20">
        <f t="shared" si="12"/>
        <v>46045</v>
      </c>
      <c r="N277" s="17">
        <f t="shared" si="14"/>
        <v>3148</v>
      </c>
      <c r="O277" s="17">
        <f>GETPIVOTDATA("amount_inr",'Pivot Table'!$A$3,"merchant_name",I277,"Date",M277)</f>
        <v>3148</v>
      </c>
      <c r="P277" s="17" t="str">
        <f t="shared" si="13"/>
        <v>Standard</v>
      </c>
    </row>
    <row r="278" spans="1:16">
      <c r="A278" s="17" t="s">
        <v>291</v>
      </c>
      <c r="B278" s="17">
        <v>77</v>
      </c>
      <c r="C278" s="17">
        <v>36</v>
      </c>
      <c r="D278" s="18">
        <v>46023.3423611111</v>
      </c>
      <c r="E278" s="17">
        <v>149</v>
      </c>
      <c r="F278" s="17" t="s">
        <v>12</v>
      </c>
      <c r="G278" s="17" t="s">
        <v>10</v>
      </c>
      <c r="H278" s="17">
        <v>93</v>
      </c>
      <c r="I278" s="17" t="str">
        <f>IFERROR(VLOOKUP(C278,Merchants!$A$2:$D$41,2,FALSE),"Merchant not found")</f>
        <v>Merchant_036</v>
      </c>
      <c r="J278" s="17" t="str">
        <f>IFERROR(VLOOKUP(C278,Merchants!$A$2:$D$41,3,FALSE),"Merchant not found")</f>
        <v>entertainment</v>
      </c>
      <c r="K278" s="17" t="str">
        <f>IFERROR(VLOOKUP(C278,Merchants!$A$2:$D$41,4,FALSE),"Merchant not found")</f>
        <v>East</v>
      </c>
      <c r="L278" s="19">
        <f>_xlfn.IFNA(HLOOKUP(F278,'MDR Rates'!$C$1:$F$2,2,FALSE),"N/A")</f>
        <v>0</v>
      </c>
      <c r="M278" s="20">
        <f t="shared" si="12"/>
        <v>46023</v>
      </c>
      <c r="N278" s="17">
        <f t="shared" si="14"/>
        <v>149</v>
      </c>
      <c r="O278" s="17">
        <f>GETPIVOTDATA("amount_inr",'Pivot Table'!$A$3,"merchant_name",I278,"Date",M278)</f>
        <v>149</v>
      </c>
      <c r="P278" s="17" t="str">
        <f t="shared" si="13"/>
        <v>Standard</v>
      </c>
    </row>
    <row r="279" spans="1:16">
      <c r="A279" s="17" t="s">
        <v>292</v>
      </c>
      <c r="B279" s="17">
        <v>57</v>
      </c>
      <c r="C279" s="17">
        <v>19</v>
      </c>
      <c r="D279" s="18">
        <v>46042.6854166667</v>
      </c>
      <c r="E279" s="17">
        <v>49</v>
      </c>
      <c r="F279" s="17" t="s">
        <v>12</v>
      </c>
      <c r="G279" s="17" t="s">
        <v>10</v>
      </c>
      <c r="H279" s="17">
        <v>30</v>
      </c>
      <c r="I279" s="17" t="str">
        <f>IFERROR(VLOOKUP(C279,Merchants!$A$2:$D$41,2,FALSE),"Merchant not found")</f>
        <v>Merchant_019</v>
      </c>
      <c r="J279" s="17" t="str">
        <f>IFERROR(VLOOKUP(C279,Merchants!$A$2:$D$41,3,FALSE),"Merchant not found")</f>
        <v>grocery</v>
      </c>
      <c r="K279" s="17" t="str">
        <f>IFERROR(VLOOKUP(C279,Merchants!$A$2:$D$41,4,FALSE),"Merchant not found")</f>
        <v>North</v>
      </c>
      <c r="L279" s="19">
        <f>_xlfn.IFNA(HLOOKUP(F279,'MDR Rates'!$C$1:$F$2,2,FALSE),"N/A")</f>
        <v>0</v>
      </c>
      <c r="M279" s="20">
        <f t="shared" si="12"/>
        <v>46042</v>
      </c>
      <c r="N279" s="17">
        <f t="shared" si="14"/>
        <v>348</v>
      </c>
      <c r="O279" s="17">
        <f>GETPIVOTDATA("amount_inr",'Pivot Table'!$A$3,"merchant_name",I279,"Date",M279)</f>
        <v>348</v>
      </c>
      <c r="P279" s="17" t="str">
        <f t="shared" si="13"/>
        <v>Standard</v>
      </c>
    </row>
    <row r="280" spans="1:16">
      <c r="A280" s="17" t="s">
        <v>293</v>
      </c>
      <c r="B280" s="17">
        <v>123</v>
      </c>
      <c r="C280" s="17">
        <v>27</v>
      </c>
      <c r="D280" s="18">
        <v>46032.1270833333</v>
      </c>
      <c r="E280" s="17">
        <v>149</v>
      </c>
      <c r="F280" s="17" t="s">
        <v>15</v>
      </c>
      <c r="G280" s="17" t="s">
        <v>10</v>
      </c>
      <c r="H280" s="17">
        <v>81</v>
      </c>
      <c r="I280" s="17" t="str">
        <f>IFERROR(VLOOKUP(C280,Merchants!$A$2:$D$41,2,FALSE),"Merchant not found")</f>
        <v>Merchant_027</v>
      </c>
      <c r="J280" s="17" t="str">
        <f>IFERROR(VLOOKUP(C280,Merchants!$A$2:$D$41,3,FALSE),"Merchant not found")</f>
        <v>ecommerce</v>
      </c>
      <c r="K280" s="17" t="str">
        <f>IFERROR(VLOOKUP(C280,Merchants!$A$2:$D$41,4,FALSE),"Merchant not found")</f>
        <v>North</v>
      </c>
      <c r="L280" s="19">
        <f>_xlfn.IFNA(HLOOKUP(F280,'MDR Rates'!$C$1:$F$2,2,FALSE),"N/A")</f>
        <v>0.015</v>
      </c>
      <c r="M280" s="20">
        <f t="shared" si="12"/>
        <v>46032</v>
      </c>
      <c r="N280" s="17">
        <f t="shared" si="14"/>
        <v>149</v>
      </c>
      <c r="O280" s="17">
        <f>GETPIVOTDATA("amount_inr",'Pivot Table'!$A$3,"merchant_name",I280,"Date",M280)</f>
        <v>149</v>
      </c>
      <c r="P280" s="17" t="str">
        <f t="shared" si="13"/>
        <v>Standard</v>
      </c>
    </row>
    <row r="281" spans="1:16">
      <c r="A281" s="17" t="s">
        <v>294</v>
      </c>
      <c r="B281" s="17">
        <v>33</v>
      </c>
      <c r="C281" s="17">
        <v>8</v>
      </c>
      <c r="D281" s="18">
        <v>46048.8118055556</v>
      </c>
      <c r="E281" s="17">
        <v>299</v>
      </c>
      <c r="F281" s="17" t="s">
        <v>9</v>
      </c>
      <c r="G281" s="17" t="s">
        <v>10</v>
      </c>
      <c r="H281" s="17">
        <v>63</v>
      </c>
      <c r="I281" s="17" t="str">
        <f>IFERROR(VLOOKUP(C281,Merchants!$A$2:$D$41,2,FALSE),"Merchant not found")</f>
        <v>Merchant_008</v>
      </c>
      <c r="J281" s="17" t="str">
        <f>IFERROR(VLOOKUP(C281,Merchants!$A$2:$D$41,3,FALSE),"Merchant not found")</f>
        <v>food_delivery</v>
      </c>
      <c r="K281" s="17" t="str">
        <f>IFERROR(VLOOKUP(C281,Merchants!$A$2:$D$41,4,FALSE),"Merchant not found")</f>
        <v>North</v>
      </c>
      <c r="L281" s="19">
        <f>_xlfn.IFNA(HLOOKUP(F281,'MDR Rates'!$C$1:$F$2,2,FALSE),"N/A")</f>
        <v>0.01</v>
      </c>
      <c r="M281" s="20">
        <f t="shared" si="12"/>
        <v>46048</v>
      </c>
      <c r="N281" s="17">
        <f t="shared" si="14"/>
        <v>598</v>
      </c>
      <c r="O281" s="17">
        <f>GETPIVOTDATA("amount_inr",'Pivot Table'!$A$3,"merchant_name",I281,"Date",M281)</f>
        <v>598</v>
      </c>
      <c r="P281" s="17" t="str">
        <f t="shared" si="13"/>
        <v>Standard</v>
      </c>
    </row>
    <row r="282" spans="1:16">
      <c r="A282" s="17" t="s">
        <v>295</v>
      </c>
      <c r="B282" s="17">
        <v>324</v>
      </c>
      <c r="C282" s="17">
        <v>33</v>
      </c>
      <c r="D282" s="18">
        <v>46042.7090277778</v>
      </c>
      <c r="E282" s="17">
        <v>499</v>
      </c>
      <c r="F282" s="17" t="s">
        <v>12</v>
      </c>
      <c r="G282" s="17" t="s">
        <v>10</v>
      </c>
      <c r="H282" s="17">
        <v>73</v>
      </c>
      <c r="I282" s="17" t="str">
        <f>IFERROR(VLOOKUP(C282,Merchants!$A$2:$D$41,2,FALSE),"Merchant not found")</f>
        <v>Merchant_033</v>
      </c>
      <c r="J282" s="17" t="str">
        <f>IFERROR(VLOOKUP(C282,Merchants!$A$2:$D$41,3,FALSE),"Merchant not found")</f>
        <v>bill_payment</v>
      </c>
      <c r="K282" s="17" t="str">
        <f>IFERROR(VLOOKUP(C282,Merchants!$A$2:$D$41,4,FALSE),"Merchant not found")</f>
        <v>East</v>
      </c>
      <c r="L282" s="19">
        <f>_xlfn.IFNA(HLOOKUP(F282,'MDR Rates'!$C$1:$F$2,2,FALSE),"N/A")</f>
        <v>0</v>
      </c>
      <c r="M282" s="20">
        <f t="shared" si="12"/>
        <v>46042</v>
      </c>
      <c r="N282" s="17">
        <f t="shared" si="14"/>
        <v>499</v>
      </c>
      <c r="O282" s="17">
        <f>GETPIVOTDATA("amount_inr",'Pivot Table'!$A$3,"merchant_name",I282,"Date",M282)</f>
        <v>499</v>
      </c>
      <c r="P282" s="17" t="str">
        <f t="shared" si="13"/>
        <v>Standard</v>
      </c>
    </row>
    <row r="283" spans="1:16">
      <c r="A283" s="17" t="s">
        <v>296</v>
      </c>
      <c r="B283" s="17">
        <v>150</v>
      </c>
      <c r="C283" s="17">
        <v>28</v>
      </c>
      <c r="D283" s="18">
        <v>46030.9229166667</v>
      </c>
      <c r="E283" s="17">
        <v>49</v>
      </c>
      <c r="F283" s="17" t="s">
        <v>12</v>
      </c>
      <c r="G283" s="17" t="s">
        <v>25</v>
      </c>
      <c r="H283" s="17">
        <v>0</v>
      </c>
      <c r="I283" s="17" t="str">
        <f>IFERROR(VLOOKUP(C283,Merchants!$A$2:$D$41,2,FALSE),"Merchant not found")</f>
        <v>Merchant_028</v>
      </c>
      <c r="J283" s="17" t="str">
        <f>IFERROR(VLOOKUP(C283,Merchants!$A$2:$D$41,3,FALSE),"Merchant not found")</f>
        <v>ecommerce</v>
      </c>
      <c r="K283" s="17" t="str">
        <f>IFERROR(VLOOKUP(C283,Merchants!$A$2:$D$41,4,FALSE),"Merchant not found")</f>
        <v>South</v>
      </c>
      <c r="L283" s="19">
        <f>_xlfn.IFNA(HLOOKUP(F283,'MDR Rates'!$C$1:$F$2,2,FALSE),"N/A")</f>
        <v>0</v>
      </c>
      <c r="M283" s="20">
        <f t="shared" si="12"/>
        <v>46030</v>
      </c>
      <c r="N283" s="17">
        <f t="shared" si="14"/>
        <v>49</v>
      </c>
      <c r="O283" s="17">
        <f>GETPIVOTDATA("amount_inr",'Pivot Table'!$A$3,"merchant_name",I283,"Date",M283)</f>
        <v>49</v>
      </c>
      <c r="P283" s="17" t="str">
        <f t="shared" si="13"/>
        <v>Standard</v>
      </c>
    </row>
    <row r="284" spans="1:16">
      <c r="A284" s="17" t="s">
        <v>297</v>
      </c>
      <c r="B284" s="17">
        <v>293</v>
      </c>
      <c r="C284" s="17">
        <v>27</v>
      </c>
      <c r="D284" s="18">
        <v>46042.46875</v>
      </c>
      <c r="E284" s="17">
        <v>4999</v>
      </c>
      <c r="F284" s="17" t="s">
        <v>12</v>
      </c>
      <c r="G284" s="17" t="s">
        <v>10</v>
      </c>
      <c r="H284" s="17">
        <v>23</v>
      </c>
      <c r="I284" s="17" t="str">
        <f>IFERROR(VLOOKUP(C284,Merchants!$A$2:$D$41,2,FALSE),"Merchant not found")</f>
        <v>Merchant_027</v>
      </c>
      <c r="J284" s="17" t="str">
        <f>IFERROR(VLOOKUP(C284,Merchants!$A$2:$D$41,3,FALSE),"Merchant not found")</f>
        <v>ecommerce</v>
      </c>
      <c r="K284" s="17" t="str">
        <f>IFERROR(VLOOKUP(C284,Merchants!$A$2:$D$41,4,FALSE),"Merchant not found")</f>
        <v>North</v>
      </c>
      <c r="L284" s="19">
        <f>_xlfn.IFNA(HLOOKUP(F284,'MDR Rates'!$C$1:$F$2,2,FALSE),"N/A")</f>
        <v>0</v>
      </c>
      <c r="M284" s="20">
        <f t="shared" si="12"/>
        <v>46042</v>
      </c>
      <c r="N284" s="17">
        <f t="shared" si="14"/>
        <v>4999</v>
      </c>
      <c r="O284" s="17">
        <f>GETPIVOTDATA("amount_inr",'Pivot Table'!$A$3,"merchant_name",I284,"Date",M284)</f>
        <v>4999</v>
      </c>
      <c r="P284" s="17" t="str">
        <f t="shared" si="13"/>
        <v>Standard</v>
      </c>
    </row>
    <row r="285" spans="1:16">
      <c r="A285" s="17" t="s">
        <v>298</v>
      </c>
      <c r="B285" s="17">
        <v>269</v>
      </c>
      <c r="C285" s="17">
        <v>24</v>
      </c>
      <c r="D285" s="18">
        <v>46044.8784722222</v>
      </c>
      <c r="E285" s="17">
        <v>49</v>
      </c>
      <c r="F285" s="17" t="s">
        <v>9</v>
      </c>
      <c r="G285" s="17" t="s">
        <v>10</v>
      </c>
      <c r="H285" s="17">
        <v>8</v>
      </c>
      <c r="I285" s="17" t="str">
        <f>IFERROR(VLOOKUP(C285,Merchants!$A$2:$D$41,2,FALSE),"Merchant not found")</f>
        <v>Merchant_024</v>
      </c>
      <c r="J285" s="17" t="str">
        <f>IFERROR(VLOOKUP(C285,Merchants!$A$2:$D$41,3,FALSE),"Merchant not found")</f>
        <v>grocery</v>
      </c>
      <c r="K285" s="17" t="str">
        <f>IFERROR(VLOOKUP(C285,Merchants!$A$2:$D$41,4,FALSE),"Merchant not found")</f>
        <v>North</v>
      </c>
      <c r="L285" s="19">
        <f>_xlfn.IFNA(HLOOKUP(F285,'MDR Rates'!$C$1:$F$2,2,FALSE),"N/A")</f>
        <v>0.01</v>
      </c>
      <c r="M285" s="20">
        <f t="shared" si="12"/>
        <v>46044</v>
      </c>
      <c r="N285" s="17">
        <f t="shared" si="14"/>
        <v>49</v>
      </c>
      <c r="O285" s="17">
        <f>GETPIVOTDATA("amount_inr",'Pivot Table'!$A$3,"merchant_name",I285,"Date",M285)</f>
        <v>49</v>
      </c>
      <c r="P285" s="17" t="str">
        <f t="shared" si="13"/>
        <v>Standard</v>
      </c>
    </row>
    <row r="286" spans="1:16">
      <c r="A286" s="17" t="s">
        <v>299</v>
      </c>
      <c r="B286" s="17">
        <v>260</v>
      </c>
      <c r="C286" s="17">
        <v>36</v>
      </c>
      <c r="D286" s="18">
        <v>46039.7305555556</v>
      </c>
      <c r="E286" s="17">
        <v>1499</v>
      </c>
      <c r="F286" s="17" t="s">
        <v>12</v>
      </c>
      <c r="G286" s="17" t="s">
        <v>10</v>
      </c>
      <c r="H286" s="17">
        <v>2</v>
      </c>
      <c r="I286" s="17" t="str">
        <f>IFERROR(VLOOKUP(C286,Merchants!$A$2:$D$41,2,FALSE),"Merchant not found")</f>
        <v>Merchant_036</v>
      </c>
      <c r="J286" s="17" t="str">
        <f>IFERROR(VLOOKUP(C286,Merchants!$A$2:$D$41,3,FALSE),"Merchant not found")</f>
        <v>entertainment</v>
      </c>
      <c r="K286" s="17" t="str">
        <f>IFERROR(VLOOKUP(C286,Merchants!$A$2:$D$41,4,FALSE),"Merchant not found")</f>
        <v>East</v>
      </c>
      <c r="L286" s="19">
        <f>_xlfn.IFNA(HLOOKUP(F286,'MDR Rates'!$C$1:$F$2,2,FALSE),"N/A")</f>
        <v>0</v>
      </c>
      <c r="M286" s="20">
        <f t="shared" si="12"/>
        <v>46039</v>
      </c>
      <c r="N286" s="17">
        <f t="shared" si="14"/>
        <v>1499</v>
      </c>
      <c r="O286" s="17">
        <f>GETPIVOTDATA("amount_inr",'Pivot Table'!$A$3,"merchant_name",I286,"Date",M286)</f>
        <v>1499</v>
      </c>
      <c r="P286" s="17" t="str">
        <f t="shared" si="13"/>
        <v>Standard</v>
      </c>
    </row>
    <row r="287" spans="1:16">
      <c r="A287" s="17" t="s">
        <v>300</v>
      </c>
      <c r="B287" s="17">
        <v>326</v>
      </c>
      <c r="C287" s="17">
        <v>25</v>
      </c>
      <c r="D287" s="18">
        <v>46035.6263888889</v>
      </c>
      <c r="E287" s="17">
        <v>49</v>
      </c>
      <c r="F287" s="17" t="s">
        <v>12</v>
      </c>
      <c r="G287" s="17" t="s">
        <v>10</v>
      </c>
      <c r="H287" s="17">
        <v>47</v>
      </c>
      <c r="I287" s="17" t="str">
        <f>IFERROR(VLOOKUP(C287,Merchants!$A$2:$D$41,2,FALSE),"Merchant not found")</f>
        <v>Merchant_025</v>
      </c>
      <c r="J287" s="17" t="str">
        <f>IFERROR(VLOOKUP(C287,Merchants!$A$2:$D$41,3,FALSE),"Merchant not found")</f>
        <v>travel</v>
      </c>
      <c r="K287" s="17" t="str">
        <f>IFERROR(VLOOKUP(C287,Merchants!$A$2:$D$41,4,FALSE),"Merchant not found")</f>
        <v>South</v>
      </c>
      <c r="L287" s="19">
        <f>_xlfn.IFNA(HLOOKUP(F287,'MDR Rates'!$C$1:$F$2,2,FALSE),"N/A")</f>
        <v>0</v>
      </c>
      <c r="M287" s="20">
        <f t="shared" si="12"/>
        <v>46035</v>
      </c>
      <c r="N287" s="17">
        <f t="shared" si="14"/>
        <v>49</v>
      </c>
      <c r="O287" s="17">
        <f>GETPIVOTDATA("amount_inr",'Pivot Table'!$A$3,"merchant_name",I287,"Date",M287)</f>
        <v>49</v>
      </c>
      <c r="P287" s="17" t="str">
        <f t="shared" si="13"/>
        <v>Standard</v>
      </c>
    </row>
    <row r="288" spans="1:16">
      <c r="A288" s="17" t="s">
        <v>301</v>
      </c>
      <c r="B288" s="17">
        <v>183</v>
      </c>
      <c r="C288" s="17">
        <v>5</v>
      </c>
      <c r="D288" s="18">
        <v>46031.9590277778</v>
      </c>
      <c r="E288" s="17">
        <v>49</v>
      </c>
      <c r="F288" s="17" t="s">
        <v>24</v>
      </c>
      <c r="G288" s="17" t="s">
        <v>10</v>
      </c>
      <c r="H288" s="17">
        <v>44</v>
      </c>
      <c r="I288" s="17" t="str">
        <f>IFERROR(VLOOKUP(C288,Merchants!$A$2:$D$41,2,FALSE),"Merchant not found")</f>
        <v>Merchant_005</v>
      </c>
      <c r="J288" s="17" t="str">
        <f>IFERROR(VLOOKUP(C288,Merchants!$A$2:$D$41,3,FALSE),"Merchant not found")</f>
        <v>recharge</v>
      </c>
      <c r="K288" s="17" t="str">
        <f>IFERROR(VLOOKUP(C288,Merchants!$A$2:$D$41,4,FALSE),"Merchant not found")</f>
        <v>South</v>
      </c>
      <c r="L288" s="19">
        <f>_xlfn.IFNA(HLOOKUP(F288,'MDR Rates'!$C$1:$F$2,2,FALSE),"N/A")</f>
        <v>0.02</v>
      </c>
      <c r="M288" s="20">
        <f t="shared" si="12"/>
        <v>46031</v>
      </c>
      <c r="N288" s="17">
        <f t="shared" si="14"/>
        <v>348</v>
      </c>
      <c r="O288" s="17">
        <f>GETPIVOTDATA("amount_inr",'Pivot Table'!$A$3,"merchant_name",I288,"Date",M288)</f>
        <v>348</v>
      </c>
      <c r="P288" s="17" t="str">
        <f t="shared" si="13"/>
        <v>Standard</v>
      </c>
    </row>
    <row r="289" spans="1:16">
      <c r="A289" s="17" t="s">
        <v>302</v>
      </c>
      <c r="B289" s="17">
        <v>322</v>
      </c>
      <c r="C289" s="17">
        <v>7</v>
      </c>
      <c r="D289" s="18">
        <v>46030.9875</v>
      </c>
      <c r="E289" s="17">
        <v>299</v>
      </c>
      <c r="F289" s="17" t="s">
        <v>12</v>
      </c>
      <c r="G289" s="17" t="s">
        <v>10</v>
      </c>
      <c r="H289" s="17">
        <v>98</v>
      </c>
      <c r="I289" s="17" t="str">
        <f>IFERROR(VLOOKUP(C289,Merchants!$A$2:$D$41,2,FALSE),"Merchant not found")</f>
        <v>Merchant_007</v>
      </c>
      <c r="J289" s="17" t="str">
        <f>IFERROR(VLOOKUP(C289,Merchants!$A$2:$D$41,3,FALSE),"Merchant not found")</f>
        <v>food_delivery</v>
      </c>
      <c r="K289" s="17" t="str">
        <f>IFERROR(VLOOKUP(C289,Merchants!$A$2:$D$41,4,FALSE),"Merchant not found")</f>
        <v>East</v>
      </c>
      <c r="L289" s="19">
        <f>_xlfn.IFNA(HLOOKUP(F289,'MDR Rates'!$C$1:$F$2,2,FALSE),"N/A")</f>
        <v>0</v>
      </c>
      <c r="M289" s="20">
        <f t="shared" si="12"/>
        <v>46030</v>
      </c>
      <c r="N289" s="17">
        <f t="shared" si="14"/>
        <v>299</v>
      </c>
      <c r="O289" s="17">
        <f>GETPIVOTDATA("amount_inr",'Pivot Table'!$A$3,"merchant_name",I289,"Date",M289)</f>
        <v>299</v>
      </c>
      <c r="P289" s="17" t="str">
        <f t="shared" si="13"/>
        <v>Standard</v>
      </c>
    </row>
    <row r="290" spans="1:16">
      <c r="A290" s="17" t="s">
        <v>303</v>
      </c>
      <c r="B290" s="17">
        <v>171</v>
      </c>
      <c r="C290" s="17">
        <v>9</v>
      </c>
      <c r="D290" s="18">
        <v>46041.9916666667</v>
      </c>
      <c r="E290" s="17">
        <v>299</v>
      </c>
      <c r="F290" s="17" t="s">
        <v>12</v>
      </c>
      <c r="G290" s="17" t="s">
        <v>10</v>
      </c>
      <c r="H290" s="17">
        <v>5</v>
      </c>
      <c r="I290" s="17" t="str">
        <f>IFERROR(VLOOKUP(C290,Merchants!$A$2:$D$41,2,FALSE),"Merchant not found")</f>
        <v>Merchant_009</v>
      </c>
      <c r="J290" s="17" t="str">
        <f>IFERROR(VLOOKUP(C290,Merchants!$A$2:$D$41,3,FALSE),"Merchant not found")</f>
        <v>ecommerce</v>
      </c>
      <c r="K290" s="17" t="str">
        <f>IFERROR(VLOOKUP(C290,Merchants!$A$2:$D$41,4,FALSE),"Merchant not found")</f>
        <v>North</v>
      </c>
      <c r="L290" s="19">
        <f>_xlfn.IFNA(HLOOKUP(F290,'MDR Rates'!$C$1:$F$2,2,FALSE),"N/A")</f>
        <v>0</v>
      </c>
      <c r="M290" s="20">
        <f t="shared" si="12"/>
        <v>46041</v>
      </c>
      <c r="N290" s="17">
        <f t="shared" si="14"/>
        <v>299</v>
      </c>
      <c r="O290" s="17">
        <f>GETPIVOTDATA("amount_inr",'Pivot Table'!$A$3,"merchant_name",I290,"Date",M290)</f>
        <v>299</v>
      </c>
      <c r="P290" s="17" t="str">
        <f t="shared" si="13"/>
        <v>Standard</v>
      </c>
    </row>
    <row r="291" spans="1:16">
      <c r="A291" s="17" t="s">
        <v>304</v>
      </c>
      <c r="B291" s="17">
        <v>330</v>
      </c>
      <c r="C291" s="17">
        <v>12</v>
      </c>
      <c r="D291" s="18">
        <v>46034.7229166667</v>
      </c>
      <c r="E291" s="17">
        <v>1499</v>
      </c>
      <c r="F291" s="17" t="s">
        <v>15</v>
      </c>
      <c r="G291" s="17" t="s">
        <v>10</v>
      </c>
      <c r="H291" s="17">
        <v>99</v>
      </c>
      <c r="I291" s="17" t="str">
        <f>IFERROR(VLOOKUP(C291,Merchants!$A$2:$D$41,2,FALSE),"Merchant not found")</f>
        <v>Merchant_012</v>
      </c>
      <c r="J291" s="17" t="str">
        <f>IFERROR(VLOOKUP(C291,Merchants!$A$2:$D$41,3,FALSE),"Merchant not found")</f>
        <v>ecommerce</v>
      </c>
      <c r="K291" s="17" t="str">
        <f>IFERROR(VLOOKUP(C291,Merchants!$A$2:$D$41,4,FALSE),"Merchant not found")</f>
        <v>East</v>
      </c>
      <c r="L291" s="19">
        <f>_xlfn.IFNA(HLOOKUP(F291,'MDR Rates'!$C$1:$F$2,2,FALSE),"N/A")</f>
        <v>0.015</v>
      </c>
      <c r="M291" s="20">
        <f t="shared" si="12"/>
        <v>46034</v>
      </c>
      <c r="N291" s="17">
        <f t="shared" si="14"/>
        <v>1998</v>
      </c>
      <c r="O291" s="17">
        <f>GETPIVOTDATA("amount_inr",'Pivot Table'!$A$3,"merchant_name",I291,"Date",M291)</f>
        <v>1998</v>
      </c>
      <c r="P291" s="17" t="str">
        <f t="shared" si="13"/>
        <v>Standard</v>
      </c>
    </row>
    <row r="292" spans="1:16">
      <c r="A292" s="17" t="s">
        <v>305</v>
      </c>
      <c r="B292" s="17">
        <v>246</v>
      </c>
      <c r="C292" s="17">
        <v>12</v>
      </c>
      <c r="D292" s="18">
        <v>46044.6138888889</v>
      </c>
      <c r="E292" s="17">
        <v>99</v>
      </c>
      <c r="F292" s="17" t="s">
        <v>9</v>
      </c>
      <c r="G292" s="17" t="s">
        <v>10</v>
      </c>
      <c r="H292" s="17">
        <v>17</v>
      </c>
      <c r="I292" s="17" t="str">
        <f>IFERROR(VLOOKUP(C292,Merchants!$A$2:$D$41,2,FALSE),"Merchant not found")</f>
        <v>Merchant_012</v>
      </c>
      <c r="J292" s="17" t="str">
        <f>IFERROR(VLOOKUP(C292,Merchants!$A$2:$D$41,3,FALSE),"Merchant not found")</f>
        <v>ecommerce</v>
      </c>
      <c r="K292" s="17" t="str">
        <f>IFERROR(VLOOKUP(C292,Merchants!$A$2:$D$41,4,FALSE),"Merchant not found")</f>
        <v>East</v>
      </c>
      <c r="L292" s="19">
        <f>_xlfn.IFNA(HLOOKUP(F292,'MDR Rates'!$C$1:$F$2,2,FALSE),"N/A")</f>
        <v>0.01</v>
      </c>
      <c r="M292" s="20">
        <f t="shared" si="12"/>
        <v>46044</v>
      </c>
      <c r="N292" s="17">
        <f t="shared" si="14"/>
        <v>99</v>
      </c>
      <c r="O292" s="17">
        <f>GETPIVOTDATA("amount_inr",'Pivot Table'!$A$3,"merchant_name",I292,"Date",M292)</f>
        <v>99</v>
      </c>
      <c r="P292" s="17" t="str">
        <f t="shared" si="13"/>
        <v>Standard</v>
      </c>
    </row>
    <row r="293" spans="1:16">
      <c r="A293" s="17" t="s">
        <v>306</v>
      </c>
      <c r="B293" s="17">
        <v>235</v>
      </c>
      <c r="C293" s="17">
        <v>3</v>
      </c>
      <c r="D293" s="18">
        <v>46025.9506944444</v>
      </c>
      <c r="E293" s="17">
        <v>49</v>
      </c>
      <c r="F293" s="17" t="s">
        <v>12</v>
      </c>
      <c r="G293" s="17" t="s">
        <v>10</v>
      </c>
      <c r="H293" s="17">
        <v>37</v>
      </c>
      <c r="I293" s="17" t="str">
        <f>IFERROR(VLOOKUP(C293,Merchants!$A$2:$D$41,2,FALSE),"Merchant not found")</f>
        <v>Merchant_003</v>
      </c>
      <c r="J293" s="17" t="str">
        <f>IFERROR(VLOOKUP(C293,Merchants!$A$2:$D$41,3,FALSE),"Merchant not found")</f>
        <v>grocery</v>
      </c>
      <c r="K293" s="17" t="str">
        <f>IFERROR(VLOOKUP(C293,Merchants!$A$2:$D$41,4,FALSE),"Merchant not found")</f>
        <v>East</v>
      </c>
      <c r="L293" s="19">
        <f>_xlfn.IFNA(HLOOKUP(F293,'MDR Rates'!$C$1:$F$2,2,FALSE),"N/A")</f>
        <v>0</v>
      </c>
      <c r="M293" s="20">
        <f t="shared" si="12"/>
        <v>46025</v>
      </c>
      <c r="N293" s="17">
        <f t="shared" si="14"/>
        <v>198</v>
      </c>
      <c r="O293" s="17">
        <f>GETPIVOTDATA("amount_inr",'Pivot Table'!$A$3,"merchant_name",I293,"Date",M293)</f>
        <v>198</v>
      </c>
      <c r="P293" s="17" t="str">
        <f t="shared" si="13"/>
        <v>Standard</v>
      </c>
    </row>
    <row r="294" spans="1:16">
      <c r="A294" s="17" t="s">
        <v>307</v>
      </c>
      <c r="B294" s="17">
        <v>103</v>
      </c>
      <c r="C294" s="17">
        <v>3</v>
      </c>
      <c r="D294" s="18">
        <v>46029.0763888889</v>
      </c>
      <c r="E294" s="17">
        <v>499</v>
      </c>
      <c r="F294" s="17" t="s">
        <v>12</v>
      </c>
      <c r="G294" s="17" t="s">
        <v>10</v>
      </c>
      <c r="H294" s="17">
        <v>40</v>
      </c>
      <c r="I294" s="17" t="str">
        <f>IFERROR(VLOOKUP(C294,Merchants!$A$2:$D$41,2,FALSE),"Merchant not found")</f>
        <v>Merchant_003</v>
      </c>
      <c r="J294" s="17" t="str">
        <f>IFERROR(VLOOKUP(C294,Merchants!$A$2:$D$41,3,FALSE),"Merchant not found")</f>
        <v>grocery</v>
      </c>
      <c r="K294" s="17" t="str">
        <f>IFERROR(VLOOKUP(C294,Merchants!$A$2:$D$41,4,FALSE),"Merchant not found")</f>
        <v>East</v>
      </c>
      <c r="L294" s="19">
        <f>_xlfn.IFNA(HLOOKUP(F294,'MDR Rates'!$C$1:$F$2,2,FALSE),"N/A")</f>
        <v>0</v>
      </c>
      <c r="M294" s="20">
        <f t="shared" si="12"/>
        <v>46029</v>
      </c>
      <c r="N294" s="17">
        <f t="shared" si="14"/>
        <v>798</v>
      </c>
      <c r="O294" s="17">
        <f>GETPIVOTDATA("amount_inr",'Pivot Table'!$A$3,"merchant_name",I294,"Date",M294)</f>
        <v>798</v>
      </c>
      <c r="P294" s="17" t="str">
        <f t="shared" si="13"/>
        <v>Standard</v>
      </c>
    </row>
    <row r="295" spans="1:16">
      <c r="A295" s="17" t="s">
        <v>308</v>
      </c>
      <c r="B295" s="17">
        <v>204</v>
      </c>
      <c r="C295" s="17">
        <v>35</v>
      </c>
      <c r="D295" s="18">
        <v>46052.3972222222</v>
      </c>
      <c r="E295" s="17">
        <v>99</v>
      </c>
      <c r="F295" s="17" t="s">
        <v>9</v>
      </c>
      <c r="G295" s="17" t="s">
        <v>10</v>
      </c>
      <c r="H295" s="17">
        <v>60</v>
      </c>
      <c r="I295" s="17" t="str">
        <f>IFERROR(VLOOKUP(C295,Merchants!$A$2:$D$41,2,FALSE),"Merchant not found")</f>
        <v>Merchant_035</v>
      </c>
      <c r="J295" s="17" t="str">
        <f>IFERROR(VLOOKUP(C295,Merchants!$A$2:$D$41,3,FALSE),"Merchant not found")</f>
        <v>recharge</v>
      </c>
      <c r="K295" s="17" t="str">
        <f>IFERROR(VLOOKUP(C295,Merchants!$A$2:$D$41,4,FALSE),"Merchant not found")</f>
        <v>East</v>
      </c>
      <c r="L295" s="19">
        <f>_xlfn.IFNA(HLOOKUP(F295,'MDR Rates'!$C$1:$F$2,2,FALSE),"N/A")</f>
        <v>0.01</v>
      </c>
      <c r="M295" s="20">
        <f t="shared" si="12"/>
        <v>46052</v>
      </c>
      <c r="N295" s="17">
        <f t="shared" si="14"/>
        <v>99</v>
      </c>
      <c r="O295" s="17">
        <f>GETPIVOTDATA("amount_inr",'Pivot Table'!$A$3,"merchant_name",I295,"Date",M295)</f>
        <v>99</v>
      </c>
      <c r="P295" s="17" t="str">
        <f t="shared" si="13"/>
        <v>Standard</v>
      </c>
    </row>
    <row r="296" spans="1:16">
      <c r="A296" s="17" t="s">
        <v>309</v>
      </c>
      <c r="B296" s="17">
        <v>332</v>
      </c>
      <c r="C296" s="17">
        <v>13</v>
      </c>
      <c r="D296" s="18">
        <v>46031.075</v>
      </c>
      <c r="E296" s="17">
        <v>49</v>
      </c>
      <c r="F296" s="17" t="s">
        <v>24</v>
      </c>
      <c r="G296" s="17" t="s">
        <v>10</v>
      </c>
      <c r="H296" s="17">
        <v>36</v>
      </c>
      <c r="I296" s="17" t="str">
        <f>IFERROR(VLOOKUP(C296,Merchants!$A$2:$D$41,2,FALSE),"Merchant not found")</f>
        <v>Merchant_013</v>
      </c>
      <c r="J296" s="17" t="str">
        <f>IFERROR(VLOOKUP(C296,Merchants!$A$2:$D$41,3,FALSE),"Merchant not found")</f>
        <v>travel</v>
      </c>
      <c r="K296" s="17" t="str">
        <f>IFERROR(VLOOKUP(C296,Merchants!$A$2:$D$41,4,FALSE),"Merchant not found")</f>
        <v>East</v>
      </c>
      <c r="L296" s="19">
        <f>_xlfn.IFNA(HLOOKUP(F296,'MDR Rates'!$C$1:$F$2,2,FALSE),"N/A")</f>
        <v>0.02</v>
      </c>
      <c r="M296" s="20">
        <f t="shared" si="12"/>
        <v>46031</v>
      </c>
      <c r="N296" s="17">
        <f t="shared" si="14"/>
        <v>198</v>
      </c>
      <c r="O296" s="17">
        <f>GETPIVOTDATA("amount_inr",'Pivot Table'!$A$3,"merchant_name",I296,"Date",M296)</f>
        <v>198</v>
      </c>
      <c r="P296" s="17" t="str">
        <f t="shared" si="13"/>
        <v>Standard</v>
      </c>
    </row>
    <row r="297" spans="1:16">
      <c r="A297" s="17" t="s">
        <v>310</v>
      </c>
      <c r="B297" s="17">
        <v>336</v>
      </c>
      <c r="C297" s="17">
        <v>22</v>
      </c>
      <c r="D297" s="18">
        <v>46034.0798611111</v>
      </c>
      <c r="E297" s="17">
        <v>499</v>
      </c>
      <c r="F297" s="17" t="s">
        <v>12</v>
      </c>
      <c r="G297" s="17" t="s">
        <v>10</v>
      </c>
      <c r="H297" s="17">
        <v>34</v>
      </c>
      <c r="I297" s="17" t="str">
        <f>IFERROR(VLOOKUP(C297,Merchants!$A$2:$D$41,2,FALSE),"Merchant not found")</f>
        <v>Merchant_022</v>
      </c>
      <c r="J297" s="17" t="str">
        <f>IFERROR(VLOOKUP(C297,Merchants!$A$2:$D$41,3,FALSE),"Merchant not found")</f>
        <v>travel</v>
      </c>
      <c r="K297" s="17" t="str">
        <f>IFERROR(VLOOKUP(C297,Merchants!$A$2:$D$41,4,FALSE),"Merchant not found")</f>
        <v>South</v>
      </c>
      <c r="L297" s="19">
        <f>_xlfn.IFNA(HLOOKUP(F297,'MDR Rates'!$C$1:$F$2,2,FALSE),"N/A")</f>
        <v>0</v>
      </c>
      <c r="M297" s="20">
        <f t="shared" si="12"/>
        <v>46034</v>
      </c>
      <c r="N297" s="17">
        <f t="shared" si="14"/>
        <v>1697</v>
      </c>
      <c r="O297" s="17">
        <f>GETPIVOTDATA("amount_inr",'Pivot Table'!$A$3,"merchant_name",I297,"Date",M297)</f>
        <v>1697</v>
      </c>
      <c r="P297" s="17" t="str">
        <f t="shared" si="13"/>
        <v>Standard</v>
      </c>
    </row>
    <row r="298" spans="1:16">
      <c r="A298" s="17" t="s">
        <v>311</v>
      </c>
      <c r="B298" s="17">
        <v>205</v>
      </c>
      <c r="C298" s="17">
        <v>29</v>
      </c>
      <c r="D298" s="18">
        <v>46026.4770833333</v>
      </c>
      <c r="E298" s="17">
        <v>99</v>
      </c>
      <c r="F298" s="17" t="s">
        <v>9</v>
      </c>
      <c r="G298" s="17" t="s">
        <v>10</v>
      </c>
      <c r="H298" s="17">
        <v>49</v>
      </c>
      <c r="I298" s="17" t="str">
        <f>IFERROR(VLOOKUP(C298,Merchants!$A$2:$D$41,2,FALSE),"Merchant not found")</f>
        <v>Merchant_029</v>
      </c>
      <c r="J298" s="17" t="str">
        <f>IFERROR(VLOOKUP(C298,Merchants!$A$2:$D$41,3,FALSE),"Merchant not found")</f>
        <v>ecommerce</v>
      </c>
      <c r="K298" s="17" t="str">
        <f>IFERROR(VLOOKUP(C298,Merchants!$A$2:$D$41,4,FALSE),"Merchant not found")</f>
        <v>North</v>
      </c>
      <c r="L298" s="19">
        <f>_xlfn.IFNA(HLOOKUP(F298,'MDR Rates'!$C$1:$F$2,2,FALSE),"N/A")</f>
        <v>0.01</v>
      </c>
      <c r="M298" s="20">
        <f t="shared" si="12"/>
        <v>46026</v>
      </c>
      <c r="N298" s="17">
        <f t="shared" si="14"/>
        <v>99</v>
      </c>
      <c r="O298" s="17">
        <f>GETPIVOTDATA("amount_inr",'Pivot Table'!$A$3,"merchant_name",I298,"Date",M298)</f>
        <v>99</v>
      </c>
      <c r="P298" s="17" t="str">
        <f t="shared" si="13"/>
        <v>Standard</v>
      </c>
    </row>
    <row r="299" spans="1:16">
      <c r="A299" s="17" t="s">
        <v>312</v>
      </c>
      <c r="B299" s="17">
        <v>255</v>
      </c>
      <c r="C299" s="17">
        <v>24</v>
      </c>
      <c r="D299" s="18">
        <v>46033.2298611111</v>
      </c>
      <c r="E299" s="17">
        <v>799</v>
      </c>
      <c r="F299" s="17" t="s">
        <v>12</v>
      </c>
      <c r="G299" s="17" t="s">
        <v>10</v>
      </c>
      <c r="H299" s="17">
        <v>66</v>
      </c>
      <c r="I299" s="17" t="str">
        <f>IFERROR(VLOOKUP(C299,Merchants!$A$2:$D$41,2,FALSE),"Merchant not found")</f>
        <v>Merchant_024</v>
      </c>
      <c r="J299" s="17" t="str">
        <f>IFERROR(VLOOKUP(C299,Merchants!$A$2:$D$41,3,FALSE),"Merchant not found")</f>
        <v>grocery</v>
      </c>
      <c r="K299" s="17" t="str">
        <f>IFERROR(VLOOKUP(C299,Merchants!$A$2:$D$41,4,FALSE),"Merchant not found")</f>
        <v>North</v>
      </c>
      <c r="L299" s="19">
        <f>_xlfn.IFNA(HLOOKUP(F299,'MDR Rates'!$C$1:$F$2,2,FALSE),"N/A")</f>
        <v>0</v>
      </c>
      <c r="M299" s="20">
        <f t="shared" si="12"/>
        <v>46033</v>
      </c>
      <c r="N299" s="17">
        <f t="shared" si="14"/>
        <v>799</v>
      </c>
      <c r="O299" s="17">
        <f>GETPIVOTDATA("amount_inr",'Pivot Table'!$A$3,"merchant_name",I299,"Date",M299)</f>
        <v>799</v>
      </c>
      <c r="P299" s="17" t="str">
        <f t="shared" si="13"/>
        <v>Standard</v>
      </c>
    </row>
    <row r="300" spans="1:16">
      <c r="A300" s="17" t="s">
        <v>313</v>
      </c>
      <c r="B300" s="17">
        <v>218</v>
      </c>
      <c r="C300" s="17">
        <v>6</v>
      </c>
      <c r="D300" s="18">
        <v>46031.1152777778</v>
      </c>
      <c r="E300" s="17">
        <v>99</v>
      </c>
      <c r="F300" s="17" t="s">
        <v>12</v>
      </c>
      <c r="G300" s="17" t="s">
        <v>10</v>
      </c>
      <c r="H300" s="17">
        <v>55</v>
      </c>
      <c r="I300" s="17" t="str">
        <f>IFERROR(VLOOKUP(C300,Merchants!$A$2:$D$41,2,FALSE),"Merchant not found")</f>
        <v>Merchant_006</v>
      </c>
      <c r="J300" s="17" t="str">
        <f>IFERROR(VLOOKUP(C300,Merchants!$A$2:$D$41,3,FALSE),"Merchant not found")</f>
        <v>food_delivery</v>
      </c>
      <c r="K300" s="17" t="str">
        <f>IFERROR(VLOOKUP(C300,Merchants!$A$2:$D$41,4,FALSE),"Merchant not found")</f>
        <v>South</v>
      </c>
      <c r="L300" s="19">
        <f>_xlfn.IFNA(HLOOKUP(F300,'MDR Rates'!$C$1:$F$2,2,FALSE),"N/A")</f>
        <v>0</v>
      </c>
      <c r="M300" s="20">
        <f t="shared" si="12"/>
        <v>46031</v>
      </c>
      <c r="N300" s="17">
        <f t="shared" si="14"/>
        <v>99</v>
      </c>
      <c r="O300" s="17">
        <f>GETPIVOTDATA("amount_inr",'Pivot Table'!$A$3,"merchant_name",I300,"Date",M300)</f>
        <v>99</v>
      </c>
      <c r="P300" s="17" t="str">
        <f t="shared" si="13"/>
        <v>Standard</v>
      </c>
    </row>
    <row r="301" spans="1:16">
      <c r="A301" s="17" t="s">
        <v>314</v>
      </c>
      <c r="B301" s="17">
        <v>151</v>
      </c>
      <c r="C301" s="17">
        <v>21</v>
      </c>
      <c r="D301" s="18">
        <v>46042.2319444444</v>
      </c>
      <c r="E301" s="17">
        <v>49</v>
      </c>
      <c r="F301" s="17" t="s">
        <v>12</v>
      </c>
      <c r="G301" s="17" t="s">
        <v>10</v>
      </c>
      <c r="H301" s="17">
        <v>13</v>
      </c>
      <c r="I301" s="17" t="str">
        <f>IFERROR(VLOOKUP(C301,Merchants!$A$2:$D$41,2,FALSE),"Merchant not found")</f>
        <v>Merchant_021</v>
      </c>
      <c r="J301" s="17" t="str">
        <f>IFERROR(VLOOKUP(C301,Merchants!$A$2:$D$41,3,FALSE),"Merchant not found")</f>
        <v>food_delivery</v>
      </c>
      <c r="K301" s="17" t="str">
        <f>IFERROR(VLOOKUP(C301,Merchants!$A$2:$D$41,4,FALSE),"Merchant not found")</f>
        <v>East</v>
      </c>
      <c r="L301" s="19">
        <f>_xlfn.IFNA(HLOOKUP(F301,'MDR Rates'!$C$1:$F$2,2,FALSE),"N/A")</f>
        <v>0</v>
      </c>
      <c r="M301" s="20">
        <f t="shared" si="12"/>
        <v>46042</v>
      </c>
      <c r="N301" s="17">
        <f t="shared" si="14"/>
        <v>49</v>
      </c>
      <c r="O301" s="17">
        <f>GETPIVOTDATA("amount_inr",'Pivot Table'!$A$3,"merchant_name",I301,"Date",M301)</f>
        <v>49</v>
      </c>
      <c r="P301" s="17" t="str">
        <f t="shared" si="13"/>
        <v>Standard</v>
      </c>
    </row>
    <row r="302" spans="1:16">
      <c r="A302" s="17" t="s">
        <v>315</v>
      </c>
      <c r="B302" s="17">
        <v>152</v>
      </c>
      <c r="C302" s="17">
        <v>20</v>
      </c>
      <c r="D302" s="18">
        <v>46025.4458333333</v>
      </c>
      <c r="E302" s="17">
        <v>49</v>
      </c>
      <c r="F302" s="17" t="s">
        <v>12</v>
      </c>
      <c r="G302" s="17" t="s">
        <v>10</v>
      </c>
      <c r="H302" s="17">
        <v>57</v>
      </c>
      <c r="I302" s="17" t="str">
        <f>IFERROR(VLOOKUP(C302,Merchants!$A$2:$D$41,2,FALSE),"Merchant not found")</f>
        <v>Merchant_020</v>
      </c>
      <c r="J302" s="17" t="str">
        <f>IFERROR(VLOOKUP(C302,Merchants!$A$2:$D$41,3,FALSE),"Merchant not found")</f>
        <v>food_delivery</v>
      </c>
      <c r="K302" s="17" t="str">
        <f>IFERROR(VLOOKUP(C302,Merchants!$A$2:$D$41,4,FALSE),"Merchant not found")</f>
        <v>East</v>
      </c>
      <c r="L302" s="19">
        <f>_xlfn.IFNA(HLOOKUP(F302,'MDR Rates'!$C$1:$F$2,2,FALSE),"N/A")</f>
        <v>0</v>
      </c>
      <c r="M302" s="20">
        <f t="shared" si="12"/>
        <v>46025</v>
      </c>
      <c r="N302" s="17">
        <f t="shared" si="14"/>
        <v>348</v>
      </c>
      <c r="O302" s="17">
        <f>GETPIVOTDATA("amount_inr",'Pivot Table'!$A$3,"merchant_name",I302,"Date",M302)</f>
        <v>348</v>
      </c>
      <c r="P302" s="17" t="str">
        <f t="shared" si="13"/>
        <v>Standard</v>
      </c>
    </row>
    <row r="303" spans="1:16">
      <c r="A303" s="17" t="s">
        <v>316</v>
      </c>
      <c r="B303" s="17">
        <v>86</v>
      </c>
      <c r="C303" s="17">
        <v>29</v>
      </c>
      <c r="D303" s="18">
        <v>46042.9354166667</v>
      </c>
      <c r="E303" s="17">
        <v>149</v>
      </c>
      <c r="F303" s="17" t="s">
        <v>24</v>
      </c>
      <c r="G303" s="17" t="s">
        <v>10</v>
      </c>
      <c r="H303" s="17">
        <v>44</v>
      </c>
      <c r="I303" s="17" t="str">
        <f>IFERROR(VLOOKUP(C303,Merchants!$A$2:$D$41,2,FALSE),"Merchant not found")</f>
        <v>Merchant_029</v>
      </c>
      <c r="J303" s="17" t="str">
        <f>IFERROR(VLOOKUP(C303,Merchants!$A$2:$D$41,3,FALSE),"Merchant not found")</f>
        <v>ecommerce</v>
      </c>
      <c r="K303" s="17" t="str">
        <f>IFERROR(VLOOKUP(C303,Merchants!$A$2:$D$41,4,FALSE),"Merchant not found")</f>
        <v>North</v>
      </c>
      <c r="L303" s="19">
        <f>_xlfn.IFNA(HLOOKUP(F303,'MDR Rates'!$C$1:$F$2,2,FALSE),"N/A")</f>
        <v>0.02</v>
      </c>
      <c r="M303" s="20">
        <f t="shared" si="12"/>
        <v>46042</v>
      </c>
      <c r="N303" s="17">
        <f t="shared" si="14"/>
        <v>149</v>
      </c>
      <c r="O303" s="17">
        <f>GETPIVOTDATA("amount_inr",'Pivot Table'!$A$3,"merchant_name",I303,"Date",M303)</f>
        <v>149</v>
      </c>
      <c r="P303" s="17" t="str">
        <f t="shared" si="13"/>
        <v>Standard</v>
      </c>
    </row>
    <row r="304" spans="1:16">
      <c r="A304" s="17" t="s">
        <v>317</v>
      </c>
      <c r="B304" s="17">
        <v>181</v>
      </c>
      <c r="C304" s="17">
        <v>40</v>
      </c>
      <c r="D304" s="18">
        <v>46037.0736111111</v>
      </c>
      <c r="E304" s="17">
        <v>149</v>
      </c>
      <c r="F304" s="17" t="s">
        <v>12</v>
      </c>
      <c r="G304" s="17" t="s">
        <v>10</v>
      </c>
      <c r="H304" s="17">
        <v>55</v>
      </c>
      <c r="I304" s="17" t="str">
        <f>IFERROR(VLOOKUP(C304,Merchants!$A$2:$D$41,2,FALSE),"Merchant not found")</f>
        <v>Merchant_040</v>
      </c>
      <c r="J304" s="17" t="str">
        <f>IFERROR(VLOOKUP(C304,Merchants!$A$2:$D$41,3,FALSE),"Merchant not found")</f>
        <v>entertainment</v>
      </c>
      <c r="K304" s="17" t="str">
        <f>IFERROR(VLOOKUP(C304,Merchants!$A$2:$D$41,4,FALSE),"Merchant not found")</f>
        <v>South</v>
      </c>
      <c r="L304" s="19">
        <f>_xlfn.IFNA(HLOOKUP(F304,'MDR Rates'!$C$1:$F$2,2,FALSE),"N/A")</f>
        <v>0</v>
      </c>
      <c r="M304" s="20">
        <f t="shared" si="12"/>
        <v>46037</v>
      </c>
      <c r="N304" s="17">
        <f t="shared" si="14"/>
        <v>149</v>
      </c>
      <c r="O304" s="17">
        <f>GETPIVOTDATA("amount_inr",'Pivot Table'!$A$3,"merchant_name",I304,"Date",M304)</f>
        <v>149</v>
      </c>
      <c r="P304" s="17" t="str">
        <f t="shared" si="13"/>
        <v>Standard</v>
      </c>
    </row>
    <row r="305" spans="1:16">
      <c r="A305" s="17" t="s">
        <v>318</v>
      </c>
      <c r="B305" s="17">
        <v>30</v>
      </c>
      <c r="C305" s="17">
        <v>5</v>
      </c>
      <c r="D305" s="18">
        <v>46031.8680555556</v>
      </c>
      <c r="E305" s="17">
        <v>299</v>
      </c>
      <c r="F305" s="17" t="s">
        <v>12</v>
      </c>
      <c r="G305" s="17" t="s">
        <v>10</v>
      </c>
      <c r="H305" s="17">
        <v>85</v>
      </c>
      <c r="I305" s="17" t="str">
        <f>IFERROR(VLOOKUP(C305,Merchants!$A$2:$D$41,2,FALSE),"Merchant not found")</f>
        <v>Merchant_005</v>
      </c>
      <c r="J305" s="17" t="str">
        <f>IFERROR(VLOOKUP(C305,Merchants!$A$2:$D$41,3,FALSE),"Merchant not found")</f>
        <v>recharge</v>
      </c>
      <c r="K305" s="17" t="str">
        <f>IFERROR(VLOOKUP(C305,Merchants!$A$2:$D$41,4,FALSE),"Merchant not found")</f>
        <v>South</v>
      </c>
      <c r="L305" s="19">
        <f>_xlfn.IFNA(HLOOKUP(F305,'MDR Rates'!$C$1:$F$2,2,FALSE),"N/A")</f>
        <v>0</v>
      </c>
      <c r="M305" s="20">
        <f t="shared" si="12"/>
        <v>46031</v>
      </c>
      <c r="N305" s="17">
        <f t="shared" si="14"/>
        <v>348</v>
      </c>
      <c r="O305" s="17">
        <f>GETPIVOTDATA("amount_inr",'Pivot Table'!$A$3,"merchant_name",I305,"Date",M305)</f>
        <v>348</v>
      </c>
      <c r="P305" s="17" t="str">
        <f t="shared" si="13"/>
        <v>Standard</v>
      </c>
    </row>
    <row r="306" spans="1:16">
      <c r="A306" s="17" t="s">
        <v>319</v>
      </c>
      <c r="B306" s="17">
        <v>263</v>
      </c>
      <c r="C306" s="17">
        <v>11</v>
      </c>
      <c r="D306" s="18">
        <v>46043.5159722222</v>
      </c>
      <c r="E306" s="17">
        <v>149</v>
      </c>
      <c r="F306" s="17" t="s">
        <v>9</v>
      </c>
      <c r="G306" s="17" t="s">
        <v>10</v>
      </c>
      <c r="H306" s="17">
        <v>3</v>
      </c>
      <c r="I306" s="17" t="str">
        <f>IFERROR(VLOOKUP(C306,Merchants!$A$2:$D$41,2,FALSE),"Merchant not found")</f>
        <v>Merchant_011</v>
      </c>
      <c r="J306" s="17" t="str">
        <f>IFERROR(VLOOKUP(C306,Merchants!$A$2:$D$41,3,FALSE),"Merchant not found")</f>
        <v>ecommerce</v>
      </c>
      <c r="K306" s="17" t="str">
        <f>IFERROR(VLOOKUP(C306,Merchants!$A$2:$D$41,4,FALSE),"Merchant not found")</f>
        <v>North</v>
      </c>
      <c r="L306" s="19">
        <f>_xlfn.IFNA(HLOOKUP(F306,'MDR Rates'!$C$1:$F$2,2,FALSE),"N/A")</f>
        <v>0.01</v>
      </c>
      <c r="M306" s="20">
        <f t="shared" si="12"/>
        <v>46043</v>
      </c>
      <c r="N306" s="17">
        <f t="shared" si="14"/>
        <v>149</v>
      </c>
      <c r="O306" s="17">
        <f>GETPIVOTDATA("amount_inr",'Pivot Table'!$A$3,"merchant_name",I306,"Date",M306)</f>
        <v>149</v>
      </c>
      <c r="P306" s="17" t="str">
        <f t="shared" si="13"/>
        <v>Standard</v>
      </c>
    </row>
    <row r="307" spans="1:16">
      <c r="A307" s="17" t="s">
        <v>320</v>
      </c>
      <c r="B307" s="17">
        <v>225</v>
      </c>
      <c r="C307" s="17">
        <v>3</v>
      </c>
      <c r="D307" s="18">
        <v>46027.8215277778</v>
      </c>
      <c r="E307" s="17">
        <v>99</v>
      </c>
      <c r="F307" s="17" t="s">
        <v>15</v>
      </c>
      <c r="G307" s="17" t="s">
        <v>10</v>
      </c>
      <c r="H307" s="17">
        <v>16</v>
      </c>
      <c r="I307" s="17" t="str">
        <f>IFERROR(VLOOKUP(C307,Merchants!$A$2:$D$41,2,FALSE),"Merchant not found")</f>
        <v>Merchant_003</v>
      </c>
      <c r="J307" s="17" t="str">
        <f>IFERROR(VLOOKUP(C307,Merchants!$A$2:$D$41,3,FALSE),"Merchant not found")</f>
        <v>grocery</v>
      </c>
      <c r="K307" s="17" t="str">
        <f>IFERROR(VLOOKUP(C307,Merchants!$A$2:$D$41,4,FALSE),"Merchant not found")</f>
        <v>East</v>
      </c>
      <c r="L307" s="19">
        <f>_xlfn.IFNA(HLOOKUP(F307,'MDR Rates'!$C$1:$F$2,2,FALSE),"N/A")</f>
        <v>0.015</v>
      </c>
      <c r="M307" s="20">
        <f t="shared" si="12"/>
        <v>46027</v>
      </c>
      <c r="N307" s="17">
        <f t="shared" si="14"/>
        <v>99</v>
      </c>
      <c r="O307" s="17">
        <f>GETPIVOTDATA("amount_inr",'Pivot Table'!$A$3,"merchant_name",I307,"Date",M307)</f>
        <v>99</v>
      </c>
      <c r="P307" s="17" t="str">
        <f t="shared" si="13"/>
        <v>Standard</v>
      </c>
    </row>
    <row r="308" spans="1:16">
      <c r="A308" s="17" t="s">
        <v>321</v>
      </c>
      <c r="B308" s="17">
        <v>331</v>
      </c>
      <c r="C308" s="17">
        <v>24</v>
      </c>
      <c r="D308" s="18">
        <v>46025.3256944444</v>
      </c>
      <c r="E308" s="17">
        <v>49</v>
      </c>
      <c r="F308" s="17" t="s">
        <v>24</v>
      </c>
      <c r="G308" s="17" t="s">
        <v>10</v>
      </c>
      <c r="H308" s="17">
        <v>46</v>
      </c>
      <c r="I308" s="17" t="str">
        <f>IFERROR(VLOOKUP(C308,Merchants!$A$2:$D$41,2,FALSE),"Merchant not found")</f>
        <v>Merchant_024</v>
      </c>
      <c r="J308" s="17" t="str">
        <f>IFERROR(VLOOKUP(C308,Merchants!$A$2:$D$41,3,FALSE),"Merchant not found")</f>
        <v>grocery</v>
      </c>
      <c r="K308" s="17" t="str">
        <f>IFERROR(VLOOKUP(C308,Merchants!$A$2:$D$41,4,FALSE),"Merchant not found")</f>
        <v>North</v>
      </c>
      <c r="L308" s="19">
        <f>_xlfn.IFNA(HLOOKUP(F308,'MDR Rates'!$C$1:$F$2,2,FALSE),"N/A")</f>
        <v>0.02</v>
      </c>
      <c r="M308" s="20">
        <f t="shared" si="12"/>
        <v>46025</v>
      </c>
      <c r="N308" s="17">
        <f t="shared" si="14"/>
        <v>49</v>
      </c>
      <c r="O308" s="17">
        <f>GETPIVOTDATA("amount_inr",'Pivot Table'!$A$3,"merchant_name",I308,"Date",M308)</f>
        <v>49</v>
      </c>
      <c r="P308" s="17" t="str">
        <f t="shared" si="13"/>
        <v>Standard</v>
      </c>
    </row>
    <row r="309" spans="1:16">
      <c r="A309" s="17" t="s">
        <v>322</v>
      </c>
      <c r="B309" s="17">
        <v>310</v>
      </c>
      <c r="C309" s="17">
        <v>10</v>
      </c>
      <c r="D309" s="18">
        <v>46035.7513888889</v>
      </c>
      <c r="E309" s="17">
        <v>1499</v>
      </c>
      <c r="F309" s="17" t="s">
        <v>24</v>
      </c>
      <c r="G309" s="17" t="s">
        <v>10</v>
      </c>
      <c r="H309" s="17">
        <v>86</v>
      </c>
      <c r="I309" s="17" t="str">
        <f>IFERROR(VLOOKUP(C309,Merchants!$A$2:$D$41,2,FALSE),"Merchant not found")</f>
        <v>Merchant_010</v>
      </c>
      <c r="J309" s="17" t="str">
        <f>IFERROR(VLOOKUP(C309,Merchants!$A$2:$D$41,3,FALSE),"Merchant not found")</f>
        <v>grocery</v>
      </c>
      <c r="K309" s="17" t="str">
        <f>IFERROR(VLOOKUP(C309,Merchants!$A$2:$D$41,4,FALSE),"Merchant not found")</f>
        <v>West</v>
      </c>
      <c r="L309" s="19">
        <f>_xlfn.IFNA(HLOOKUP(F309,'MDR Rates'!$C$1:$F$2,2,FALSE),"N/A")</f>
        <v>0.02</v>
      </c>
      <c r="M309" s="20">
        <f t="shared" si="12"/>
        <v>46035</v>
      </c>
      <c r="N309" s="17">
        <f t="shared" si="14"/>
        <v>1499</v>
      </c>
      <c r="O309" s="17">
        <f>GETPIVOTDATA("amount_inr",'Pivot Table'!$A$3,"merchant_name",I309,"Date",M309)</f>
        <v>1499</v>
      </c>
      <c r="P309" s="17" t="str">
        <f t="shared" si="13"/>
        <v>Standard</v>
      </c>
    </row>
    <row r="310" spans="1:16">
      <c r="A310" s="17" t="s">
        <v>323</v>
      </c>
      <c r="B310" s="17">
        <v>228</v>
      </c>
      <c r="C310" s="17">
        <v>5</v>
      </c>
      <c r="D310" s="18">
        <v>46037.4743055556</v>
      </c>
      <c r="E310" s="17">
        <v>49</v>
      </c>
      <c r="F310" s="17" t="s">
        <v>12</v>
      </c>
      <c r="G310" s="17" t="s">
        <v>10</v>
      </c>
      <c r="H310" s="17">
        <v>73</v>
      </c>
      <c r="I310" s="17" t="str">
        <f>IFERROR(VLOOKUP(C310,Merchants!$A$2:$D$41,2,FALSE),"Merchant not found")</f>
        <v>Merchant_005</v>
      </c>
      <c r="J310" s="17" t="str">
        <f>IFERROR(VLOOKUP(C310,Merchants!$A$2:$D$41,3,FALSE),"Merchant not found")</f>
        <v>recharge</v>
      </c>
      <c r="K310" s="17" t="str">
        <f>IFERROR(VLOOKUP(C310,Merchants!$A$2:$D$41,4,FALSE),"Merchant not found")</f>
        <v>South</v>
      </c>
      <c r="L310" s="19">
        <f>_xlfn.IFNA(HLOOKUP(F310,'MDR Rates'!$C$1:$F$2,2,FALSE),"N/A")</f>
        <v>0</v>
      </c>
      <c r="M310" s="20">
        <f t="shared" si="12"/>
        <v>46037</v>
      </c>
      <c r="N310" s="17">
        <f t="shared" si="14"/>
        <v>548</v>
      </c>
      <c r="O310" s="17">
        <f>GETPIVOTDATA("amount_inr",'Pivot Table'!$A$3,"merchant_name",I310,"Date",M310)</f>
        <v>548</v>
      </c>
      <c r="P310" s="17" t="str">
        <f t="shared" si="13"/>
        <v>Standard</v>
      </c>
    </row>
    <row r="311" spans="1:16">
      <c r="A311" s="17" t="s">
        <v>324</v>
      </c>
      <c r="B311" s="17">
        <v>204</v>
      </c>
      <c r="C311" s="17">
        <v>21</v>
      </c>
      <c r="D311" s="18">
        <v>46027.6826388889</v>
      </c>
      <c r="E311" s="17">
        <v>499</v>
      </c>
      <c r="F311" s="17" t="s">
        <v>12</v>
      </c>
      <c r="G311" s="17" t="s">
        <v>10</v>
      </c>
      <c r="H311" s="17">
        <v>83</v>
      </c>
      <c r="I311" s="17" t="str">
        <f>IFERROR(VLOOKUP(C311,Merchants!$A$2:$D$41,2,FALSE),"Merchant not found")</f>
        <v>Merchant_021</v>
      </c>
      <c r="J311" s="17" t="str">
        <f>IFERROR(VLOOKUP(C311,Merchants!$A$2:$D$41,3,FALSE),"Merchant not found")</f>
        <v>food_delivery</v>
      </c>
      <c r="K311" s="17" t="str">
        <f>IFERROR(VLOOKUP(C311,Merchants!$A$2:$D$41,4,FALSE),"Merchant not found")</f>
        <v>East</v>
      </c>
      <c r="L311" s="19">
        <f>_xlfn.IFNA(HLOOKUP(F311,'MDR Rates'!$C$1:$F$2,2,FALSE),"N/A")</f>
        <v>0</v>
      </c>
      <c r="M311" s="20">
        <f t="shared" si="12"/>
        <v>46027</v>
      </c>
      <c r="N311" s="17">
        <f t="shared" si="14"/>
        <v>499</v>
      </c>
      <c r="O311" s="17">
        <f>GETPIVOTDATA("amount_inr",'Pivot Table'!$A$3,"merchant_name",I311,"Date",M311)</f>
        <v>499</v>
      </c>
      <c r="P311" s="17" t="str">
        <f t="shared" si="13"/>
        <v>Standard</v>
      </c>
    </row>
    <row r="312" spans="1:16">
      <c r="A312" s="17" t="s">
        <v>325</v>
      </c>
      <c r="B312" s="17">
        <v>14</v>
      </c>
      <c r="C312" s="17">
        <v>12</v>
      </c>
      <c r="D312" s="18">
        <v>46031.2965277778</v>
      </c>
      <c r="E312" s="17">
        <v>799</v>
      </c>
      <c r="F312" s="17" t="s">
        <v>15</v>
      </c>
      <c r="G312" s="17" t="s">
        <v>10</v>
      </c>
      <c r="H312" s="17">
        <v>63</v>
      </c>
      <c r="I312" s="17" t="str">
        <f>IFERROR(VLOOKUP(C312,Merchants!$A$2:$D$41,2,FALSE),"Merchant not found")</f>
        <v>Merchant_012</v>
      </c>
      <c r="J312" s="17" t="str">
        <f>IFERROR(VLOOKUP(C312,Merchants!$A$2:$D$41,3,FALSE),"Merchant not found")</f>
        <v>ecommerce</v>
      </c>
      <c r="K312" s="17" t="str">
        <f>IFERROR(VLOOKUP(C312,Merchants!$A$2:$D$41,4,FALSE),"Merchant not found")</f>
        <v>East</v>
      </c>
      <c r="L312" s="19">
        <f>_xlfn.IFNA(HLOOKUP(F312,'MDR Rates'!$C$1:$F$2,2,FALSE),"N/A")</f>
        <v>0.015</v>
      </c>
      <c r="M312" s="20">
        <f t="shared" si="12"/>
        <v>46031</v>
      </c>
      <c r="N312" s="17">
        <f t="shared" si="14"/>
        <v>799</v>
      </c>
      <c r="O312" s="17">
        <f>GETPIVOTDATA("amount_inr",'Pivot Table'!$A$3,"merchant_name",I312,"Date",M312)</f>
        <v>799</v>
      </c>
      <c r="P312" s="17" t="str">
        <f t="shared" si="13"/>
        <v>Standard</v>
      </c>
    </row>
    <row r="313" spans="1:16">
      <c r="A313" s="17" t="s">
        <v>326</v>
      </c>
      <c r="B313" s="17">
        <v>288</v>
      </c>
      <c r="C313" s="17">
        <v>8</v>
      </c>
      <c r="D313" s="18">
        <v>46039.5402777778</v>
      </c>
      <c r="E313" s="17">
        <v>49</v>
      </c>
      <c r="F313" s="17" t="s">
        <v>12</v>
      </c>
      <c r="G313" s="17" t="s">
        <v>10</v>
      </c>
      <c r="H313" s="17">
        <v>33</v>
      </c>
      <c r="I313" s="17" t="str">
        <f>IFERROR(VLOOKUP(C313,Merchants!$A$2:$D$41,2,FALSE),"Merchant not found")</f>
        <v>Merchant_008</v>
      </c>
      <c r="J313" s="17" t="str">
        <f>IFERROR(VLOOKUP(C313,Merchants!$A$2:$D$41,3,FALSE),"Merchant not found")</f>
        <v>food_delivery</v>
      </c>
      <c r="K313" s="17" t="str">
        <f>IFERROR(VLOOKUP(C313,Merchants!$A$2:$D$41,4,FALSE),"Merchant not found")</f>
        <v>North</v>
      </c>
      <c r="L313" s="19">
        <f>_xlfn.IFNA(HLOOKUP(F313,'MDR Rates'!$C$1:$F$2,2,FALSE),"N/A")</f>
        <v>0</v>
      </c>
      <c r="M313" s="20">
        <f t="shared" si="12"/>
        <v>46039</v>
      </c>
      <c r="N313" s="17">
        <f t="shared" si="14"/>
        <v>348</v>
      </c>
      <c r="O313" s="17">
        <f>GETPIVOTDATA("amount_inr",'Pivot Table'!$A$3,"merchant_name",I313,"Date",M313)</f>
        <v>348</v>
      </c>
      <c r="P313" s="17" t="str">
        <f t="shared" si="13"/>
        <v>Standard</v>
      </c>
    </row>
    <row r="314" spans="1:16">
      <c r="A314" s="17" t="s">
        <v>327</v>
      </c>
      <c r="B314" s="17">
        <v>229</v>
      </c>
      <c r="C314" s="17">
        <v>14</v>
      </c>
      <c r="D314" s="18">
        <v>46047.3645833333</v>
      </c>
      <c r="E314" s="17">
        <v>1499</v>
      </c>
      <c r="F314" s="17" t="s">
        <v>12</v>
      </c>
      <c r="G314" s="17" t="s">
        <v>10</v>
      </c>
      <c r="H314" s="17">
        <v>78</v>
      </c>
      <c r="I314" s="17" t="str">
        <f>IFERROR(VLOOKUP(C314,Merchants!$A$2:$D$41,2,FALSE),"Merchant not found")</f>
        <v>Merchant_014</v>
      </c>
      <c r="J314" s="17" t="str">
        <f>IFERROR(VLOOKUP(C314,Merchants!$A$2:$D$41,3,FALSE),"Merchant not found")</f>
        <v>grocery</v>
      </c>
      <c r="K314" s="17" t="str">
        <f>IFERROR(VLOOKUP(C314,Merchants!$A$2:$D$41,4,FALSE),"Merchant not found")</f>
        <v>East</v>
      </c>
      <c r="L314" s="19">
        <f>_xlfn.IFNA(HLOOKUP(F314,'MDR Rates'!$C$1:$F$2,2,FALSE),"N/A")</f>
        <v>0</v>
      </c>
      <c r="M314" s="20">
        <f t="shared" si="12"/>
        <v>46047</v>
      </c>
      <c r="N314" s="17">
        <f t="shared" si="14"/>
        <v>1598</v>
      </c>
      <c r="O314" s="17">
        <f>GETPIVOTDATA("amount_inr",'Pivot Table'!$A$3,"merchant_name",I314,"Date",M314)</f>
        <v>1598</v>
      </c>
      <c r="P314" s="17" t="str">
        <f t="shared" si="13"/>
        <v>Standard</v>
      </c>
    </row>
    <row r="315" spans="1:16">
      <c r="A315" s="17" t="s">
        <v>328</v>
      </c>
      <c r="B315" s="17">
        <v>252</v>
      </c>
      <c r="C315" s="17">
        <v>13</v>
      </c>
      <c r="D315" s="18">
        <v>46032.9569444444</v>
      </c>
      <c r="E315" s="17">
        <v>99</v>
      </c>
      <c r="F315" s="17" t="s">
        <v>9</v>
      </c>
      <c r="G315" s="17" t="s">
        <v>10</v>
      </c>
      <c r="H315" s="17">
        <v>15</v>
      </c>
      <c r="I315" s="17" t="str">
        <f>IFERROR(VLOOKUP(C315,Merchants!$A$2:$D$41,2,FALSE),"Merchant not found")</f>
        <v>Merchant_013</v>
      </c>
      <c r="J315" s="17" t="str">
        <f>IFERROR(VLOOKUP(C315,Merchants!$A$2:$D$41,3,FALSE),"Merchant not found")</f>
        <v>travel</v>
      </c>
      <c r="K315" s="17" t="str">
        <f>IFERROR(VLOOKUP(C315,Merchants!$A$2:$D$41,4,FALSE),"Merchant not found")</f>
        <v>East</v>
      </c>
      <c r="L315" s="19">
        <f>_xlfn.IFNA(HLOOKUP(F315,'MDR Rates'!$C$1:$F$2,2,FALSE),"N/A")</f>
        <v>0.01</v>
      </c>
      <c r="M315" s="20">
        <f t="shared" si="12"/>
        <v>46032</v>
      </c>
      <c r="N315" s="17">
        <f t="shared" si="14"/>
        <v>99</v>
      </c>
      <c r="O315" s="17">
        <f>GETPIVOTDATA("amount_inr",'Pivot Table'!$A$3,"merchant_name",I315,"Date",M315)</f>
        <v>99</v>
      </c>
      <c r="P315" s="17" t="str">
        <f t="shared" si="13"/>
        <v>Standard</v>
      </c>
    </row>
    <row r="316" spans="1:16">
      <c r="A316" s="17" t="s">
        <v>329</v>
      </c>
      <c r="B316" s="17">
        <v>89</v>
      </c>
      <c r="C316" s="17">
        <v>29</v>
      </c>
      <c r="D316" s="18">
        <v>46027.1027777778</v>
      </c>
      <c r="E316" s="17">
        <v>799</v>
      </c>
      <c r="F316" s="17" t="s">
        <v>12</v>
      </c>
      <c r="G316" s="17" t="s">
        <v>10</v>
      </c>
      <c r="H316" s="17">
        <v>11</v>
      </c>
      <c r="I316" s="17" t="str">
        <f>IFERROR(VLOOKUP(C316,Merchants!$A$2:$D$41,2,FALSE),"Merchant not found")</f>
        <v>Merchant_029</v>
      </c>
      <c r="J316" s="17" t="str">
        <f>IFERROR(VLOOKUP(C316,Merchants!$A$2:$D$41,3,FALSE),"Merchant not found")</f>
        <v>ecommerce</v>
      </c>
      <c r="K316" s="17" t="str">
        <f>IFERROR(VLOOKUP(C316,Merchants!$A$2:$D$41,4,FALSE),"Merchant not found")</f>
        <v>North</v>
      </c>
      <c r="L316" s="19">
        <f>_xlfn.IFNA(HLOOKUP(F316,'MDR Rates'!$C$1:$F$2,2,FALSE),"N/A")</f>
        <v>0</v>
      </c>
      <c r="M316" s="20">
        <f t="shared" si="12"/>
        <v>46027</v>
      </c>
      <c r="N316" s="17">
        <f t="shared" si="14"/>
        <v>799</v>
      </c>
      <c r="O316" s="17">
        <f>GETPIVOTDATA("amount_inr",'Pivot Table'!$A$3,"merchant_name",I316,"Date",M316)</f>
        <v>799</v>
      </c>
      <c r="P316" s="17" t="str">
        <f t="shared" si="13"/>
        <v>Standard</v>
      </c>
    </row>
    <row r="317" spans="1:16">
      <c r="A317" s="17" t="s">
        <v>330</v>
      </c>
      <c r="B317" s="17">
        <v>164</v>
      </c>
      <c r="C317" s="17">
        <v>23</v>
      </c>
      <c r="D317" s="18">
        <v>46048.9125</v>
      </c>
      <c r="E317" s="17">
        <v>49</v>
      </c>
      <c r="F317" s="17" t="s">
        <v>15</v>
      </c>
      <c r="G317" s="17" t="s">
        <v>10</v>
      </c>
      <c r="H317" s="17">
        <v>90</v>
      </c>
      <c r="I317" s="17" t="str">
        <f>IFERROR(VLOOKUP(C317,Merchants!$A$2:$D$41,2,FALSE),"Merchant not found")</f>
        <v>Merchant_023</v>
      </c>
      <c r="J317" s="17" t="str">
        <f>IFERROR(VLOOKUP(C317,Merchants!$A$2:$D$41,3,FALSE),"Merchant not found")</f>
        <v>travel</v>
      </c>
      <c r="K317" s="17" t="str">
        <f>IFERROR(VLOOKUP(C317,Merchants!$A$2:$D$41,4,FALSE),"Merchant not found")</f>
        <v>North</v>
      </c>
      <c r="L317" s="19">
        <f>_xlfn.IFNA(HLOOKUP(F317,'MDR Rates'!$C$1:$F$2,2,FALSE),"N/A")</f>
        <v>0.015</v>
      </c>
      <c r="M317" s="20">
        <f t="shared" si="12"/>
        <v>46048</v>
      </c>
      <c r="N317" s="17">
        <f t="shared" si="14"/>
        <v>49</v>
      </c>
      <c r="O317" s="17">
        <f>GETPIVOTDATA("amount_inr",'Pivot Table'!$A$3,"merchant_name",I317,"Date",M317)</f>
        <v>49</v>
      </c>
      <c r="P317" s="17" t="str">
        <f t="shared" si="13"/>
        <v>Standard</v>
      </c>
    </row>
    <row r="318" spans="1:16">
      <c r="A318" s="17" t="s">
        <v>331</v>
      </c>
      <c r="B318" s="17">
        <v>149</v>
      </c>
      <c r="C318" s="17">
        <v>20</v>
      </c>
      <c r="D318" s="18">
        <v>46025.7319444444</v>
      </c>
      <c r="E318" s="17">
        <v>299</v>
      </c>
      <c r="F318" s="17" t="s">
        <v>9</v>
      </c>
      <c r="G318" s="17" t="s">
        <v>10</v>
      </c>
      <c r="H318" s="17">
        <v>20</v>
      </c>
      <c r="I318" s="17" t="str">
        <f>IFERROR(VLOOKUP(C318,Merchants!$A$2:$D$41,2,FALSE),"Merchant not found")</f>
        <v>Merchant_020</v>
      </c>
      <c r="J318" s="17" t="str">
        <f>IFERROR(VLOOKUP(C318,Merchants!$A$2:$D$41,3,FALSE),"Merchant not found")</f>
        <v>food_delivery</v>
      </c>
      <c r="K318" s="17" t="str">
        <f>IFERROR(VLOOKUP(C318,Merchants!$A$2:$D$41,4,FALSE),"Merchant not found")</f>
        <v>East</v>
      </c>
      <c r="L318" s="19">
        <f>_xlfn.IFNA(HLOOKUP(F318,'MDR Rates'!$C$1:$F$2,2,FALSE),"N/A")</f>
        <v>0.01</v>
      </c>
      <c r="M318" s="20">
        <f t="shared" si="12"/>
        <v>46025</v>
      </c>
      <c r="N318" s="17">
        <f t="shared" si="14"/>
        <v>348</v>
      </c>
      <c r="O318" s="17">
        <f>GETPIVOTDATA("amount_inr",'Pivot Table'!$A$3,"merchant_name",I318,"Date",M318)</f>
        <v>348</v>
      </c>
      <c r="P318" s="17" t="str">
        <f t="shared" si="13"/>
        <v>Standard</v>
      </c>
    </row>
    <row r="319" spans="1:16">
      <c r="A319" s="17" t="s">
        <v>332</v>
      </c>
      <c r="B319" s="17">
        <v>327</v>
      </c>
      <c r="C319" s="17">
        <v>12</v>
      </c>
      <c r="D319" s="18">
        <v>46045.9576388889</v>
      </c>
      <c r="E319" s="17">
        <v>49</v>
      </c>
      <c r="F319" s="17" t="s">
        <v>15</v>
      </c>
      <c r="G319" s="17" t="s">
        <v>10</v>
      </c>
      <c r="H319" s="17">
        <v>46</v>
      </c>
      <c r="I319" s="17" t="str">
        <f>IFERROR(VLOOKUP(C319,Merchants!$A$2:$D$41,2,FALSE),"Merchant not found")</f>
        <v>Merchant_012</v>
      </c>
      <c r="J319" s="17" t="str">
        <f>IFERROR(VLOOKUP(C319,Merchants!$A$2:$D$41,3,FALSE),"Merchant not found")</f>
        <v>ecommerce</v>
      </c>
      <c r="K319" s="17" t="str">
        <f>IFERROR(VLOOKUP(C319,Merchants!$A$2:$D$41,4,FALSE),"Merchant not found")</f>
        <v>East</v>
      </c>
      <c r="L319" s="19">
        <f>_xlfn.IFNA(HLOOKUP(F319,'MDR Rates'!$C$1:$F$2,2,FALSE),"N/A")</f>
        <v>0.015</v>
      </c>
      <c r="M319" s="20">
        <f t="shared" si="12"/>
        <v>46045</v>
      </c>
      <c r="N319" s="17">
        <f t="shared" si="14"/>
        <v>448</v>
      </c>
      <c r="O319" s="17">
        <f>GETPIVOTDATA("amount_inr",'Pivot Table'!$A$3,"merchant_name",I319,"Date",M319)</f>
        <v>448</v>
      </c>
      <c r="P319" s="17" t="str">
        <f t="shared" si="13"/>
        <v>Standard</v>
      </c>
    </row>
    <row r="320" spans="1:16">
      <c r="A320" s="17" t="s">
        <v>333</v>
      </c>
      <c r="B320" s="17">
        <v>103</v>
      </c>
      <c r="C320" s="17">
        <v>9</v>
      </c>
      <c r="D320" s="18">
        <v>46039.2965277778</v>
      </c>
      <c r="E320" s="17">
        <v>149</v>
      </c>
      <c r="F320" s="17" t="s">
        <v>12</v>
      </c>
      <c r="G320" s="17" t="s">
        <v>10</v>
      </c>
      <c r="H320" s="17">
        <v>30</v>
      </c>
      <c r="I320" s="17" t="str">
        <f>IFERROR(VLOOKUP(C320,Merchants!$A$2:$D$41,2,FALSE),"Merchant not found")</f>
        <v>Merchant_009</v>
      </c>
      <c r="J320" s="17" t="str">
        <f>IFERROR(VLOOKUP(C320,Merchants!$A$2:$D$41,3,FALSE),"Merchant not found")</f>
        <v>ecommerce</v>
      </c>
      <c r="K320" s="17" t="str">
        <f>IFERROR(VLOOKUP(C320,Merchants!$A$2:$D$41,4,FALSE),"Merchant not found")</f>
        <v>North</v>
      </c>
      <c r="L320" s="19">
        <f>_xlfn.IFNA(HLOOKUP(F320,'MDR Rates'!$C$1:$F$2,2,FALSE),"N/A")</f>
        <v>0</v>
      </c>
      <c r="M320" s="20">
        <f t="shared" si="12"/>
        <v>46039</v>
      </c>
      <c r="N320" s="17">
        <f t="shared" si="14"/>
        <v>248</v>
      </c>
      <c r="O320" s="17">
        <f>GETPIVOTDATA("amount_inr",'Pivot Table'!$A$3,"merchant_name",I320,"Date",M320)</f>
        <v>248</v>
      </c>
      <c r="P320" s="17" t="str">
        <f t="shared" si="13"/>
        <v>Standard</v>
      </c>
    </row>
    <row r="321" spans="1:16">
      <c r="A321" s="17" t="s">
        <v>334</v>
      </c>
      <c r="B321" s="17">
        <v>185</v>
      </c>
      <c r="C321" s="17">
        <v>36</v>
      </c>
      <c r="D321" s="18">
        <v>46048.6256944444</v>
      </c>
      <c r="E321" s="17">
        <v>49</v>
      </c>
      <c r="F321" s="17" t="s">
        <v>9</v>
      </c>
      <c r="G321" s="17" t="s">
        <v>10</v>
      </c>
      <c r="H321" s="17">
        <v>73</v>
      </c>
      <c r="I321" s="17" t="str">
        <f>IFERROR(VLOOKUP(C321,Merchants!$A$2:$D$41,2,FALSE),"Merchant not found")</f>
        <v>Merchant_036</v>
      </c>
      <c r="J321" s="17" t="str">
        <f>IFERROR(VLOOKUP(C321,Merchants!$A$2:$D$41,3,FALSE),"Merchant not found")</f>
        <v>entertainment</v>
      </c>
      <c r="K321" s="17" t="str">
        <f>IFERROR(VLOOKUP(C321,Merchants!$A$2:$D$41,4,FALSE),"Merchant not found")</f>
        <v>East</v>
      </c>
      <c r="L321" s="19">
        <f>_xlfn.IFNA(HLOOKUP(F321,'MDR Rates'!$C$1:$F$2,2,FALSE),"N/A")</f>
        <v>0.01</v>
      </c>
      <c r="M321" s="20">
        <f t="shared" si="12"/>
        <v>46048</v>
      </c>
      <c r="N321" s="17">
        <f t="shared" si="14"/>
        <v>198</v>
      </c>
      <c r="O321" s="17">
        <f>GETPIVOTDATA("amount_inr",'Pivot Table'!$A$3,"merchant_name",I321,"Date",M321)</f>
        <v>198</v>
      </c>
      <c r="P321" s="17" t="str">
        <f t="shared" si="13"/>
        <v>Standard</v>
      </c>
    </row>
    <row r="322" spans="1:16">
      <c r="A322" s="17" t="s">
        <v>335</v>
      </c>
      <c r="B322" s="17">
        <v>283</v>
      </c>
      <c r="C322" s="17">
        <v>9</v>
      </c>
      <c r="D322" s="18">
        <v>46034.61875</v>
      </c>
      <c r="E322" s="17">
        <v>299</v>
      </c>
      <c r="F322" s="17" t="s">
        <v>12</v>
      </c>
      <c r="G322" s="17" t="s">
        <v>10</v>
      </c>
      <c r="H322" s="17">
        <v>78</v>
      </c>
      <c r="I322" s="17" t="str">
        <f>IFERROR(VLOOKUP(C322,Merchants!$A$2:$D$41,2,FALSE),"Merchant not found")</f>
        <v>Merchant_009</v>
      </c>
      <c r="J322" s="17" t="str">
        <f>IFERROR(VLOOKUP(C322,Merchants!$A$2:$D$41,3,FALSE),"Merchant not found")</f>
        <v>ecommerce</v>
      </c>
      <c r="K322" s="17" t="str">
        <f>IFERROR(VLOOKUP(C322,Merchants!$A$2:$D$41,4,FALSE),"Merchant not found")</f>
        <v>North</v>
      </c>
      <c r="L322" s="19">
        <f>_xlfn.IFNA(HLOOKUP(F322,'MDR Rates'!$C$1:$F$2,2,FALSE),"N/A")</f>
        <v>0</v>
      </c>
      <c r="M322" s="20">
        <f t="shared" si="12"/>
        <v>46034</v>
      </c>
      <c r="N322" s="17">
        <f t="shared" si="14"/>
        <v>299</v>
      </c>
      <c r="O322" s="17">
        <f>GETPIVOTDATA("amount_inr",'Pivot Table'!$A$3,"merchant_name",I322,"Date",M322)</f>
        <v>299</v>
      </c>
      <c r="P322" s="17" t="str">
        <f t="shared" si="13"/>
        <v>Standard</v>
      </c>
    </row>
    <row r="323" spans="1:16">
      <c r="A323" s="17" t="s">
        <v>336</v>
      </c>
      <c r="B323" s="17">
        <v>159</v>
      </c>
      <c r="C323" s="17">
        <v>26</v>
      </c>
      <c r="D323" s="18">
        <v>46051.0861111111</v>
      </c>
      <c r="E323" s="17">
        <v>99</v>
      </c>
      <c r="F323" s="17" t="s">
        <v>12</v>
      </c>
      <c r="G323" s="17" t="s">
        <v>10</v>
      </c>
      <c r="H323" s="17">
        <v>91</v>
      </c>
      <c r="I323" s="17" t="str">
        <f>IFERROR(VLOOKUP(C323,Merchants!$A$2:$D$41,2,FALSE),"Merchant not found")</f>
        <v>Merchant_026</v>
      </c>
      <c r="J323" s="17" t="str">
        <f>IFERROR(VLOOKUP(C323,Merchants!$A$2:$D$41,3,FALSE),"Merchant not found")</f>
        <v>food_delivery</v>
      </c>
      <c r="K323" s="17" t="str">
        <f>IFERROR(VLOOKUP(C323,Merchants!$A$2:$D$41,4,FALSE),"Merchant not found")</f>
        <v>East</v>
      </c>
      <c r="L323" s="19">
        <f>_xlfn.IFNA(HLOOKUP(F323,'MDR Rates'!$C$1:$F$2,2,FALSE),"N/A")</f>
        <v>0</v>
      </c>
      <c r="M323" s="20">
        <f t="shared" ref="M323:M386" si="15">INT(D323)</f>
        <v>46051</v>
      </c>
      <c r="N323" s="17">
        <f t="shared" si="14"/>
        <v>148</v>
      </c>
      <c r="O323" s="17">
        <f>GETPIVOTDATA("amount_inr",'Pivot Table'!$A$3,"merchant_name",I323,"Date",M323)</f>
        <v>148</v>
      </c>
      <c r="P323" s="17" t="str">
        <f t="shared" ref="P323:P386" si="16">IF(AND(O323&gt;5000,K323&lt;&gt;"East"),"High-Value Merchant Day","Standard")</f>
        <v>Standard</v>
      </c>
    </row>
    <row r="324" spans="1:16">
      <c r="A324" s="17" t="s">
        <v>337</v>
      </c>
      <c r="B324" s="17">
        <v>211</v>
      </c>
      <c r="C324" s="17">
        <v>27</v>
      </c>
      <c r="D324" s="18">
        <v>46046.6479166667</v>
      </c>
      <c r="E324" s="17">
        <v>99</v>
      </c>
      <c r="F324" s="17" t="s">
        <v>9</v>
      </c>
      <c r="G324" s="17" t="s">
        <v>10</v>
      </c>
      <c r="H324" s="17">
        <v>73</v>
      </c>
      <c r="I324" s="17" t="str">
        <f>IFERROR(VLOOKUP(C324,Merchants!$A$2:$D$41,2,FALSE),"Merchant not found")</f>
        <v>Merchant_027</v>
      </c>
      <c r="J324" s="17" t="str">
        <f>IFERROR(VLOOKUP(C324,Merchants!$A$2:$D$41,3,FALSE),"Merchant not found")</f>
        <v>ecommerce</v>
      </c>
      <c r="K324" s="17" t="str">
        <f>IFERROR(VLOOKUP(C324,Merchants!$A$2:$D$41,4,FALSE),"Merchant not found")</f>
        <v>North</v>
      </c>
      <c r="L324" s="19">
        <f>_xlfn.IFNA(HLOOKUP(F324,'MDR Rates'!$C$1:$F$2,2,FALSE),"N/A")</f>
        <v>0.01</v>
      </c>
      <c r="M324" s="20">
        <f t="shared" si="15"/>
        <v>46046</v>
      </c>
      <c r="N324" s="17">
        <f t="shared" si="14"/>
        <v>99</v>
      </c>
      <c r="O324" s="17">
        <f>GETPIVOTDATA("amount_inr",'Pivot Table'!$A$3,"merchant_name",I324,"Date",M324)</f>
        <v>99</v>
      </c>
      <c r="P324" s="17" t="str">
        <f t="shared" si="16"/>
        <v>Standard</v>
      </c>
    </row>
    <row r="325" spans="1:16">
      <c r="A325" s="17" t="s">
        <v>338</v>
      </c>
      <c r="B325" s="17">
        <v>329</v>
      </c>
      <c r="C325" s="17">
        <v>5</v>
      </c>
      <c r="D325" s="18">
        <v>46025.1805555556</v>
      </c>
      <c r="E325" s="17">
        <v>499</v>
      </c>
      <c r="F325" s="17" t="s">
        <v>15</v>
      </c>
      <c r="G325" s="17" t="s">
        <v>10</v>
      </c>
      <c r="H325" s="17">
        <v>57</v>
      </c>
      <c r="I325" s="17" t="str">
        <f>IFERROR(VLOOKUP(C325,Merchants!$A$2:$D$41,2,FALSE),"Merchant not found")</f>
        <v>Merchant_005</v>
      </c>
      <c r="J325" s="17" t="str">
        <f>IFERROR(VLOOKUP(C325,Merchants!$A$2:$D$41,3,FALSE),"Merchant not found")</f>
        <v>recharge</v>
      </c>
      <c r="K325" s="17" t="str">
        <f>IFERROR(VLOOKUP(C325,Merchants!$A$2:$D$41,4,FALSE),"Merchant not found")</f>
        <v>South</v>
      </c>
      <c r="L325" s="19">
        <f>_xlfn.IFNA(HLOOKUP(F325,'MDR Rates'!$C$1:$F$2,2,FALSE),"N/A")</f>
        <v>0.015</v>
      </c>
      <c r="M325" s="20">
        <f t="shared" si="15"/>
        <v>46025</v>
      </c>
      <c r="N325" s="17">
        <f t="shared" ref="N325:N388" si="17">SUMIFS($E$2:$E$548,$C$2:$C$548,C325,$M$2:$M$548,M325)</f>
        <v>499</v>
      </c>
      <c r="O325" s="17">
        <f>GETPIVOTDATA("amount_inr",'Pivot Table'!$A$3,"merchant_name",I325,"Date",M325)</f>
        <v>499</v>
      </c>
      <c r="P325" s="17" t="str">
        <f t="shared" si="16"/>
        <v>Standard</v>
      </c>
    </row>
    <row r="326" spans="1:16">
      <c r="A326" s="17" t="s">
        <v>339</v>
      </c>
      <c r="B326" s="17">
        <v>177</v>
      </c>
      <c r="C326" s="17">
        <v>9</v>
      </c>
      <c r="D326" s="18">
        <v>46037.8979166667</v>
      </c>
      <c r="E326" s="17">
        <v>99</v>
      </c>
      <c r="F326" s="17" t="s">
        <v>12</v>
      </c>
      <c r="G326" s="17" t="s">
        <v>10</v>
      </c>
      <c r="H326" s="17">
        <v>99</v>
      </c>
      <c r="I326" s="17" t="str">
        <f>IFERROR(VLOOKUP(C326,Merchants!$A$2:$D$41,2,FALSE),"Merchant not found")</f>
        <v>Merchant_009</v>
      </c>
      <c r="J326" s="17" t="str">
        <f>IFERROR(VLOOKUP(C326,Merchants!$A$2:$D$41,3,FALSE),"Merchant not found")</f>
        <v>ecommerce</v>
      </c>
      <c r="K326" s="17" t="str">
        <f>IFERROR(VLOOKUP(C326,Merchants!$A$2:$D$41,4,FALSE),"Merchant not found")</f>
        <v>North</v>
      </c>
      <c r="L326" s="19">
        <f>_xlfn.IFNA(HLOOKUP(F326,'MDR Rates'!$C$1:$F$2,2,FALSE),"N/A")</f>
        <v>0</v>
      </c>
      <c r="M326" s="20">
        <f t="shared" si="15"/>
        <v>46037</v>
      </c>
      <c r="N326" s="17">
        <f t="shared" si="17"/>
        <v>148</v>
      </c>
      <c r="O326" s="17">
        <f>GETPIVOTDATA("amount_inr",'Pivot Table'!$A$3,"merchant_name",I326,"Date",M326)</f>
        <v>148</v>
      </c>
      <c r="P326" s="17" t="str">
        <f t="shared" si="16"/>
        <v>Standard</v>
      </c>
    </row>
    <row r="327" spans="1:16">
      <c r="A327" s="17" t="s">
        <v>340</v>
      </c>
      <c r="B327" s="17">
        <v>94</v>
      </c>
      <c r="C327" s="17">
        <v>9</v>
      </c>
      <c r="D327" s="18">
        <v>46040.8590277778</v>
      </c>
      <c r="E327" s="17">
        <v>299</v>
      </c>
      <c r="F327" s="17" t="s">
        <v>12</v>
      </c>
      <c r="G327" s="17" t="s">
        <v>10</v>
      </c>
      <c r="H327" s="17">
        <v>55</v>
      </c>
      <c r="I327" s="17" t="str">
        <f>IFERROR(VLOOKUP(C327,Merchants!$A$2:$D$41,2,FALSE),"Merchant not found")</f>
        <v>Merchant_009</v>
      </c>
      <c r="J327" s="17" t="str">
        <f>IFERROR(VLOOKUP(C327,Merchants!$A$2:$D$41,3,FALSE),"Merchant not found")</f>
        <v>ecommerce</v>
      </c>
      <c r="K327" s="17" t="str">
        <f>IFERROR(VLOOKUP(C327,Merchants!$A$2:$D$41,4,FALSE),"Merchant not found")</f>
        <v>North</v>
      </c>
      <c r="L327" s="19">
        <f>_xlfn.IFNA(HLOOKUP(F327,'MDR Rates'!$C$1:$F$2,2,FALSE),"N/A")</f>
        <v>0</v>
      </c>
      <c r="M327" s="20">
        <f t="shared" si="15"/>
        <v>46040</v>
      </c>
      <c r="N327" s="17">
        <f t="shared" si="17"/>
        <v>299</v>
      </c>
      <c r="O327" s="17">
        <f>GETPIVOTDATA("amount_inr",'Pivot Table'!$A$3,"merchant_name",I327,"Date",M327)</f>
        <v>299</v>
      </c>
      <c r="P327" s="17" t="str">
        <f t="shared" si="16"/>
        <v>Standard</v>
      </c>
    </row>
    <row r="328" spans="1:16">
      <c r="A328" s="17" t="s">
        <v>341</v>
      </c>
      <c r="B328" s="17">
        <v>64</v>
      </c>
      <c r="C328" s="17">
        <v>34</v>
      </c>
      <c r="D328" s="18">
        <v>46039.0784722222</v>
      </c>
      <c r="E328" s="17">
        <v>299</v>
      </c>
      <c r="F328" s="17" t="s">
        <v>12</v>
      </c>
      <c r="G328" s="17" t="s">
        <v>10</v>
      </c>
      <c r="H328" s="17">
        <v>19</v>
      </c>
      <c r="I328" s="17" t="str">
        <f>IFERROR(VLOOKUP(C328,Merchants!$A$2:$D$41,2,FALSE),"Merchant not found")</f>
        <v>Merchant_034</v>
      </c>
      <c r="J328" s="17" t="str">
        <f>IFERROR(VLOOKUP(C328,Merchants!$A$2:$D$41,3,FALSE),"Merchant not found")</f>
        <v>travel</v>
      </c>
      <c r="K328" s="17" t="str">
        <f>IFERROR(VLOOKUP(C328,Merchants!$A$2:$D$41,4,FALSE),"Merchant not found")</f>
        <v>South</v>
      </c>
      <c r="L328" s="19">
        <f>_xlfn.IFNA(HLOOKUP(F328,'MDR Rates'!$C$1:$F$2,2,FALSE),"N/A")</f>
        <v>0</v>
      </c>
      <c r="M328" s="20">
        <f t="shared" si="15"/>
        <v>46039</v>
      </c>
      <c r="N328" s="17">
        <f t="shared" si="17"/>
        <v>299</v>
      </c>
      <c r="O328" s="17">
        <f>GETPIVOTDATA("amount_inr",'Pivot Table'!$A$3,"merchant_name",I328,"Date",M328)</f>
        <v>299</v>
      </c>
      <c r="P328" s="17" t="str">
        <f t="shared" si="16"/>
        <v>Standard</v>
      </c>
    </row>
    <row r="329" spans="1:16">
      <c r="A329" s="17" t="s">
        <v>342</v>
      </c>
      <c r="B329" s="17">
        <v>166</v>
      </c>
      <c r="C329" s="17">
        <v>15</v>
      </c>
      <c r="D329" s="18">
        <v>46032.2152777778</v>
      </c>
      <c r="E329" s="17">
        <v>49</v>
      </c>
      <c r="F329" s="17" t="s">
        <v>12</v>
      </c>
      <c r="G329" s="17" t="s">
        <v>10</v>
      </c>
      <c r="H329" s="17">
        <v>44</v>
      </c>
      <c r="I329" s="17" t="str">
        <f>IFERROR(VLOOKUP(C329,Merchants!$A$2:$D$41,2,FALSE),"Merchant not found")</f>
        <v>Merchant_015</v>
      </c>
      <c r="J329" s="17" t="str">
        <f>IFERROR(VLOOKUP(C329,Merchants!$A$2:$D$41,3,FALSE),"Merchant not found")</f>
        <v>travel</v>
      </c>
      <c r="K329" s="17" t="str">
        <f>IFERROR(VLOOKUP(C329,Merchants!$A$2:$D$41,4,FALSE),"Merchant not found")</f>
        <v>North</v>
      </c>
      <c r="L329" s="19">
        <f>_xlfn.IFNA(HLOOKUP(F329,'MDR Rates'!$C$1:$F$2,2,FALSE),"N/A")</f>
        <v>0</v>
      </c>
      <c r="M329" s="20">
        <f t="shared" si="15"/>
        <v>46032</v>
      </c>
      <c r="N329" s="17">
        <f t="shared" si="17"/>
        <v>49</v>
      </c>
      <c r="O329" s="17">
        <f>GETPIVOTDATA("amount_inr",'Pivot Table'!$A$3,"merchant_name",I329,"Date",M329)</f>
        <v>49</v>
      </c>
      <c r="P329" s="17" t="str">
        <f t="shared" si="16"/>
        <v>Standard</v>
      </c>
    </row>
    <row r="330" spans="1:16">
      <c r="A330" s="17" t="s">
        <v>343</v>
      </c>
      <c r="B330" s="17">
        <v>41</v>
      </c>
      <c r="C330" s="17">
        <v>17</v>
      </c>
      <c r="D330" s="18">
        <v>46039.4125</v>
      </c>
      <c r="E330" s="17">
        <v>299</v>
      </c>
      <c r="F330" s="17" t="s">
        <v>9</v>
      </c>
      <c r="G330" s="17" t="s">
        <v>10</v>
      </c>
      <c r="H330" s="17">
        <v>25</v>
      </c>
      <c r="I330" s="17" t="str">
        <f>IFERROR(VLOOKUP(C330,Merchants!$A$2:$D$41,2,FALSE),"Merchant not found")</f>
        <v>Merchant_017</v>
      </c>
      <c r="J330" s="17" t="str">
        <f>IFERROR(VLOOKUP(C330,Merchants!$A$2:$D$41,3,FALSE),"Merchant not found")</f>
        <v>grocery</v>
      </c>
      <c r="K330" s="17" t="str">
        <f>IFERROR(VLOOKUP(C330,Merchants!$A$2:$D$41,4,FALSE),"Merchant not found")</f>
        <v>North</v>
      </c>
      <c r="L330" s="19">
        <f>_xlfn.IFNA(HLOOKUP(F330,'MDR Rates'!$C$1:$F$2,2,FALSE),"N/A")</f>
        <v>0.01</v>
      </c>
      <c r="M330" s="20">
        <f t="shared" si="15"/>
        <v>46039</v>
      </c>
      <c r="N330" s="17">
        <f t="shared" si="17"/>
        <v>299</v>
      </c>
      <c r="O330" s="17">
        <f>GETPIVOTDATA("amount_inr",'Pivot Table'!$A$3,"merchant_name",I330,"Date",M330)</f>
        <v>299</v>
      </c>
      <c r="P330" s="17" t="str">
        <f t="shared" si="16"/>
        <v>Standard</v>
      </c>
    </row>
    <row r="331" spans="1:16">
      <c r="A331" s="17" t="s">
        <v>344</v>
      </c>
      <c r="B331" s="17">
        <v>65</v>
      </c>
      <c r="C331" s="17">
        <v>20</v>
      </c>
      <c r="D331" s="18">
        <v>46043.7201388889</v>
      </c>
      <c r="E331" s="17">
        <v>99</v>
      </c>
      <c r="F331" s="17" t="s">
        <v>24</v>
      </c>
      <c r="G331" s="17" t="s">
        <v>10</v>
      </c>
      <c r="H331" s="17">
        <v>78</v>
      </c>
      <c r="I331" s="17" t="str">
        <f>IFERROR(VLOOKUP(C331,Merchants!$A$2:$D$41,2,FALSE),"Merchant not found")</f>
        <v>Merchant_020</v>
      </c>
      <c r="J331" s="17" t="str">
        <f>IFERROR(VLOOKUP(C331,Merchants!$A$2:$D$41,3,FALSE),"Merchant not found")</f>
        <v>food_delivery</v>
      </c>
      <c r="K331" s="17" t="str">
        <f>IFERROR(VLOOKUP(C331,Merchants!$A$2:$D$41,4,FALSE),"Merchant not found")</f>
        <v>East</v>
      </c>
      <c r="L331" s="19">
        <f>_xlfn.IFNA(HLOOKUP(F331,'MDR Rates'!$C$1:$F$2,2,FALSE),"N/A")</f>
        <v>0.02</v>
      </c>
      <c r="M331" s="20">
        <f t="shared" si="15"/>
        <v>46043</v>
      </c>
      <c r="N331" s="17">
        <f t="shared" si="17"/>
        <v>99</v>
      </c>
      <c r="O331" s="17">
        <f>GETPIVOTDATA("amount_inr",'Pivot Table'!$A$3,"merchant_name",I331,"Date",M331)</f>
        <v>99</v>
      </c>
      <c r="P331" s="17" t="str">
        <f t="shared" si="16"/>
        <v>Standard</v>
      </c>
    </row>
    <row r="332" spans="1:16">
      <c r="A332" s="17" t="s">
        <v>345</v>
      </c>
      <c r="B332" s="17">
        <v>329</v>
      </c>
      <c r="C332" s="17">
        <v>11</v>
      </c>
      <c r="D332" s="18">
        <v>46040.1055555556</v>
      </c>
      <c r="E332" s="17">
        <v>499</v>
      </c>
      <c r="F332" s="17" t="s">
        <v>12</v>
      </c>
      <c r="G332" s="17" t="s">
        <v>10</v>
      </c>
      <c r="H332" s="17">
        <v>75</v>
      </c>
      <c r="I332" s="17" t="str">
        <f>IFERROR(VLOOKUP(C332,Merchants!$A$2:$D$41,2,FALSE),"Merchant not found")</f>
        <v>Merchant_011</v>
      </c>
      <c r="J332" s="17" t="str">
        <f>IFERROR(VLOOKUP(C332,Merchants!$A$2:$D$41,3,FALSE),"Merchant not found")</f>
        <v>ecommerce</v>
      </c>
      <c r="K332" s="17" t="str">
        <f>IFERROR(VLOOKUP(C332,Merchants!$A$2:$D$41,4,FALSE),"Merchant not found")</f>
        <v>North</v>
      </c>
      <c r="L332" s="19">
        <f>_xlfn.IFNA(HLOOKUP(F332,'MDR Rates'!$C$1:$F$2,2,FALSE),"N/A")</f>
        <v>0</v>
      </c>
      <c r="M332" s="20">
        <f t="shared" si="15"/>
        <v>46040</v>
      </c>
      <c r="N332" s="17">
        <f t="shared" si="17"/>
        <v>499</v>
      </c>
      <c r="O332" s="17">
        <f>GETPIVOTDATA("amount_inr",'Pivot Table'!$A$3,"merchant_name",I332,"Date",M332)</f>
        <v>499</v>
      </c>
      <c r="P332" s="17" t="str">
        <f t="shared" si="16"/>
        <v>Standard</v>
      </c>
    </row>
    <row r="333" spans="1:16">
      <c r="A333" s="17" t="s">
        <v>346</v>
      </c>
      <c r="B333" s="17">
        <v>338</v>
      </c>
      <c r="C333" s="17">
        <v>40</v>
      </c>
      <c r="D333" s="18">
        <v>46041.1736111111</v>
      </c>
      <c r="E333" s="17">
        <v>149</v>
      </c>
      <c r="F333" s="17" t="s">
        <v>12</v>
      </c>
      <c r="G333" s="17" t="s">
        <v>10</v>
      </c>
      <c r="H333" s="17">
        <v>92</v>
      </c>
      <c r="I333" s="17" t="str">
        <f>IFERROR(VLOOKUP(C333,Merchants!$A$2:$D$41,2,FALSE),"Merchant not found")</f>
        <v>Merchant_040</v>
      </c>
      <c r="J333" s="17" t="str">
        <f>IFERROR(VLOOKUP(C333,Merchants!$A$2:$D$41,3,FALSE),"Merchant not found")</f>
        <v>entertainment</v>
      </c>
      <c r="K333" s="17" t="str">
        <f>IFERROR(VLOOKUP(C333,Merchants!$A$2:$D$41,4,FALSE),"Merchant not found")</f>
        <v>South</v>
      </c>
      <c r="L333" s="19">
        <f>_xlfn.IFNA(HLOOKUP(F333,'MDR Rates'!$C$1:$F$2,2,FALSE),"N/A")</f>
        <v>0</v>
      </c>
      <c r="M333" s="20">
        <f t="shared" si="15"/>
        <v>46041</v>
      </c>
      <c r="N333" s="17">
        <f t="shared" si="17"/>
        <v>648</v>
      </c>
      <c r="O333" s="17">
        <f>GETPIVOTDATA("amount_inr",'Pivot Table'!$A$3,"merchant_name",I333,"Date",M333)</f>
        <v>648</v>
      </c>
      <c r="P333" s="17" t="str">
        <f t="shared" si="16"/>
        <v>Standard</v>
      </c>
    </row>
    <row r="334" spans="1:16">
      <c r="A334" s="17" t="s">
        <v>347</v>
      </c>
      <c r="B334" s="17">
        <v>289</v>
      </c>
      <c r="C334" s="17">
        <v>3</v>
      </c>
      <c r="D334" s="18">
        <v>46051.80625</v>
      </c>
      <c r="E334" s="17">
        <v>49</v>
      </c>
      <c r="F334" s="17" t="s">
        <v>15</v>
      </c>
      <c r="G334" s="17" t="s">
        <v>10</v>
      </c>
      <c r="H334" s="17">
        <v>3</v>
      </c>
      <c r="I334" s="17" t="str">
        <f>IFERROR(VLOOKUP(C334,Merchants!$A$2:$D$41,2,FALSE),"Merchant not found")</f>
        <v>Merchant_003</v>
      </c>
      <c r="J334" s="17" t="str">
        <f>IFERROR(VLOOKUP(C334,Merchants!$A$2:$D$41,3,FALSE),"Merchant not found")</f>
        <v>grocery</v>
      </c>
      <c r="K334" s="17" t="str">
        <f>IFERROR(VLOOKUP(C334,Merchants!$A$2:$D$41,4,FALSE),"Merchant not found")</f>
        <v>East</v>
      </c>
      <c r="L334" s="19">
        <f>_xlfn.IFNA(HLOOKUP(F334,'MDR Rates'!$C$1:$F$2,2,FALSE),"N/A")</f>
        <v>0.015</v>
      </c>
      <c r="M334" s="20">
        <f t="shared" si="15"/>
        <v>46051</v>
      </c>
      <c r="N334" s="17">
        <f t="shared" si="17"/>
        <v>49</v>
      </c>
      <c r="O334" s="17">
        <f>GETPIVOTDATA("amount_inr",'Pivot Table'!$A$3,"merchant_name",I334,"Date",M334)</f>
        <v>49</v>
      </c>
      <c r="P334" s="17" t="str">
        <f t="shared" si="16"/>
        <v>Standard</v>
      </c>
    </row>
    <row r="335" spans="1:16">
      <c r="A335" s="17" t="s">
        <v>348</v>
      </c>
      <c r="B335" s="17">
        <v>296</v>
      </c>
      <c r="C335" s="17">
        <v>17</v>
      </c>
      <c r="D335" s="18">
        <v>46025.0701388889</v>
      </c>
      <c r="E335" s="17">
        <v>99</v>
      </c>
      <c r="F335" s="17" t="s">
        <v>12</v>
      </c>
      <c r="G335" s="17" t="s">
        <v>10</v>
      </c>
      <c r="H335" s="17">
        <v>83</v>
      </c>
      <c r="I335" s="17" t="str">
        <f>IFERROR(VLOOKUP(C335,Merchants!$A$2:$D$41,2,FALSE),"Merchant not found")</f>
        <v>Merchant_017</v>
      </c>
      <c r="J335" s="17" t="str">
        <f>IFERROR(VLOOKUP(C335,Merchants!$A$2:$D$41,3,FALSE),"Merchant not found")</f>
        <v>grocery</v>
      </c>
      <c r="K335" s="17" t="str">
        <f>IFERROR(VLOOKUP(C335,Merchants!$A$2:$D$41,4,FALSE),"Merchant not found")</f>
        <v>North</v>
      </c>
      <c r="L335" s="19">
        <f>_xlfn.IFNA(HLOOKUP(F335,'MDR Rates'!$C$1:$F$2,2,FALSE),"N/A")</f>
        <v>0</v>
      </c>
      <c r="M335" s="20">
        <f t="shared" si="15"/>
        <v>46025</v>
      </c>
      <c r="N335" s="17">
        <f t="shared" si="17"/>
        <v>398</v>
      </c>
      <c r="O335" s="17">
        <f>GETPIVOTDATA("amount_inr",'Pivot Table'!$A$3,"merchant_name",I335,"Date",M335)</f>
        <v>398</v>
      </c>
      <c r="P335" s="17" t="str">
        <f t="shared" si="16"/>
        <v>Standard</v>
      </c>
    </row>
    <row r="336" spans="1:16">
      <c r="A336" s="17" t="s">
        <v>349</v>
      </c>
      <c r="B336" s="17">
        <v>317</v>
      </c>
      <c r="C336" s="17">
        <v>2</v>
      </c>
      <c r="D336" s="18">
        <v>46029.7680555556</v>
      </c>
      <c r="E336" s="17">
        <v>499</v>
      </c>
      <c r="F336" s="17" t="s">
        <v>24</v>
      </c>
      <c r="G336" s="17" t="s">
        <v>10</v>
      </c>
      <c r="H336" s="17">
        <v>63</v>
      </c>
      <c r="I336" s="17" t="str">
        <f>IFERROR(VLOOKUP(C336,Merchants!$A$2:$D$41,2,FALSE),"Merchant not found")</f>
        <v>Merchant_002</v>
      </c>
      <c r="J336" s="17" t="str">
        <f>IFERROR(VLOOKUP(C336,Merchants!$A$2:$D$41,3,FALSE),"Merchant not found")</f>
        <v>grocery</v>
      </c>
      <c r="K336" s="17" t="str">
        <f>IFERROR(VLOOKUP(C336,Merchants!$A$2:$D$41,4,FALSE),"Merchant not found")</f>
        <v>West</v>
      </c>
      <c r="L336" s="19">
        <f>_xlfn.IFNA(HLOOKUP(F336,'MDR Rates'!$C$1:$F$2,2,FALSE),"N/A")</f>
        <v>0.02</v>
      </c>
      <c r="M336" s="20">
        <f t="shared" si="15"/>
        <v>46029</v>
      </c>
      <c r="N336" s="17">
        <f t="shared" si="17"/>
        <v>499</v>
      </c>
      <c r="O336" s="17">
        <f>GETPIVOTDATA("amount_inr",'Pivot Table'!$A$3,"merchant_name",I336,"Date",M336)</f>
        <v>499</v>
      </c>
      <c r="P336" s="17" t="str">
        <f t="shared" si="16"/>
        <v>Standard</v>
      </c>
    </row>
    <row r="337" spans="1:16">
      <c r="A337" s="17" t="s">
        <v>350</v>
      </c>
      <c r="B337" s="17">
        <v>149</v>
      </c>
      <c r="C337" s="17">
        <v>20</v>
      </c>
      <c r="D337" s="18">
        <v>46051.8569444444</v>
      </c>
      <c r="E337" s="17">
        <v>499</v>
      </c>
      <c r="F337" s="17" t="s">
        <v>24</v>
      </c>
      <c r="G337" s="17" t="s">
        <v>10</v>
      </c>
      <c r="H337" s="17">
        <v>61</v>
      </c>
      <c r="I337" s="17" t="str">
        <f>IFERROR(VLOOKUP(C337,Merchants!$A$2:$D$41,2,FALSE),"Merchant not found")</f>
        <v>Merchant_020</v>
      </c>
      <c r="J337" s="17" t="str">
        <f>IFERROR(VLOOKUP(C337,Merchants!$A$2:$D$41,3,FALSE),"Merchant not found")</f>
        <v>food_delivery</v>
      </c>
      <c r="K337" s="17" t="str">
        <f>IFERROR(VLOOKUP(C337,Merchants!$A$2:$D$41,4,FALSE),"Merchant not found")</f>
        <v>East</v>
      </c>
      <c r="L337" s="19">
        <f>_xlfn.IFNA(HLOOKUP(F337,'MDR Rates'!$C$1:$F$2,2,FALSE),"N/A")</f>
        <v>0.02</v>
      </c>
      <c r="M337" s="20">
        <f t="shared" si="15"/>
        <v>46051</v>
      </c>
      <c r="N337" s="17">
        <f t="shared" si="17"/>
        <v>499</v>
      </c>
      <c r="O337" s="17">
        <f>GETPIVOTDATA("amount_inr",'Pivot Table'!$A$3,"merchant_name",I337,"Date",M337)</f>
        <v>499</v>
      </c>
      <c r="P337" s="17" t="str">
        <f t="shared" si="16"/>
        <v>Standard</v>
      </c>
    </row>
    <row r="338" spans="1:16">
      <c r="A338" s="17" t="s">
        <v>351</v>
      </c>
      <c r="B338" s="17">
        <v>153</v>
      </c>
      <c r="C338" s="17">
        <v>30</v>
      </c>
      <c r="D338" s="18">
        <v>46030.8923611111</v>
      </c>
      <c r="E338" s="17">
        <v>299</v>
      </c>
      <c r="F338" s="17" t="s">
        <v>12</v>
      </c>
      <c r="G338" s="17" t="s">
        <v>10</v>
      </c>
      <c r="H338" s="17">
        <v>9</v>
      </c>
      <c r="I338" s="17" t="str">
        <f>IFERROR(VLOOKUP(C338,Merchants!$A$2:$D$41,2,FALSE),"Merchant not found")</f>
        <v>Merchant_030</v>
      </c>
      <c r="J338" s="17" t="str">
        <f>IFERROR(VLOOKUP(C338,Merchants!$A$2:$D$41,3,FALSE),"Merchant not found")</f>
        <v>travel</v>
      </c>
      <c r="K338" s="17" t="str">
        <f>IFERROR(VLOOKUP(C338,Merchants!$A$2:$D$41,4,FALSE),"Merchant not found")</f>
        <v>West</v>
      </c>
      <c r="L338" s="19">
        <f>_xlfn.IFNA(HLOOKUP(F338,'MDR Rates'!$C$1:$F$2,2,FALSE),"N/A")</f>
        <v>0</v>
      </c>
      <c r="M338" s="20">
        <f t="shared" si="15"/>
        <v>46030</v>
      </c>
      <c r="N338" s="17">
        <f t="shared" si="17"/>
        <v>1197</v>
      </c>
      <c r="O338" s="17">
        <f>GETPIVOTDATA("amount_inr",'Pivot Table'!$A$3,"merchant_name",I338,"Date",M338)</f>
        <v>1197</v>
      </c>
      <c r="P338" s="17" t="str">
        <f t="shared" si="16"/>
        <v>Standard</v>
      </c>
    </row>
    <row r="339" spans="1:16">
      <c r="A339" s="17" t="s">
        <v>352</v>
      </c>
      <c r="B339" s="17">
        <v>226</v>
      </c>
      <c r="C339" s="17">
        <v>27</v>
      </c>
      <c r="D339" s="18">
        <v>46045.0486111111</v>
      </c>
      <c r="E339" s="17">
        <v>2999</v>
      </c>
      <c r="F339" s="17" t="s">
        <v>12</v>
      </c>
      <c r="G339" s="17" t="s">
        <v>38</v>
      </c>
      <c r="H339" s="17">
        <v>61</v>
      </c>
      <c r="I339" s="17" t="str">
        <f>IFERROR(VLOOKUP(C339,Merchants!$A$2:$D$41,2,FALSE),"Merchant not found")</f>
        <v>Merchant_027</v>
      </c>
      <c r="J339" s="17" t="str">
        <f>IFERROR(VLOOKUP(C339,Merchants!$A$2:$D$41,3,FALSE),"Merchant not found")</f>
        <v>ecommerce</v>
      </c>
      <c r="K339" s="17" t="str">
        <f>IFERROR(VLOOKUP(C339,Merchants!$A$2:$D$41,4,FALSE),"Merchant not found")</f>
        <v>North</v>
      </c>
      <c r="L339" s="19">
        <f>_xlfn.IFNA(HLOOKUP(F339,'MDR Rates'!$C$1:$F$2,2,FALSE),"N/A")</f>
        <v>0</v>
      </c>
      <c r="M339" s="20">
        <f t="shared" si="15"/>
        <v>46045</v>
      </c>
      <c r="N339" s="17">
        <f t="shared" si="17"/>
        <v>3998</v>
      </c>
      <c r="O339" s="17">
        <f>GETPIVOTDATA("amount_inr",'Pivot Table'!$A$3,"merchant_name",I339,"Date",M339)</f>
        <v>3998</v>
      </c>
      <c r="P339" s="17" t="str">
        <f t="shared" si="16"/>
        <v>Standard</v>
      </c>
    </row>
    <row r="340" spans="1:16">
      <c r="A340" s="17" t="s">
        <v>353</v>
      </c>
      <c r="B340" s="17">
        <v>311</v>
      </c>
      <c r="C340" s="17">
        <v>10</v>
      </c>
      <c r="D340" s="18">
        <v>46037.2645833333</v>
      </c>
      <c r="E340" s="17">
        <v>2999</v>
      </c>
      <c r="F340" s="17" t="s">
        <v>12</v>
      </c>
      <c r="G340" s="17" t="s">
        <v>10</v>
      </c>
      <c r="H340" s="17">
        <v>40</v>
      </c>
      <c r="I340" s="17" t="str">
        <f>IFERROR(VLOOKUP(C340,Merchants!$A$2:$D$41,2,FALSE),"Merchant not found")</f>
        <v>Merchant_010</v>
      </c>
      <c r="J340" s="17" t="str">
        <f>IFERROR(VLOOKUP(C340,Merchants!$A$2:$D$41,3,FALSE),"Merchant not found")</f>
        <v>grocery</v>
      </c>
      <c r="K340" s="17" t="str">
        <f>IFERROR(VLOOKUP(C340,Merchants!$A$2:$D$41,4,FALSE),"Merchant not found")</f>
        <v>West</v>
      </c>
      <c r="L340" s="19">
        <f>_xlfn.IFNA(HLOOKUP(F340,'MDR Rates'!$C$1:$F$2,2,FALSE),"N/A")</f>
        <v>0</v>
      </c>
      <c r="M340" s="20">
        <f t="shared" si="15"/>
        <v>46037</v>
      </c>
      <c r="N340" s="17">
        <f t="shared" si="17"/>
        <v>2999</v>
      </c>
      <c r="O340" s="17">
        <f>GETPIVOTDATA("amount_inr",'Pivot Table'!$A$3,"merchant_name",I340,"Date",M340)</f>
        <v>2999</v>
      </c>
      <c r="P340" s="17" t="str">
        <f t="shared" si="16"/>
        <v>Standard</v>
      </c>
    </row>
    <row r="341" spans="1:16">
      <c r="A341" s="17" t="s">
        <v>354</v>
      </c>
      <c r="B341" s="17">
        <v>177</v>
      </c>
      <c r="C341" s="17">
        <v>26</v>
      </c>
      <c r="D341" s="18">
        <v>46050.9305555556</v>
      </c>
      <c r="E341" s="17">
        <v>1499</v>
      </c>
      <c r="F341" s="17" t="s">
        <v>12</v>
      </c>
      <c r="G341" s="17" t="s">
        <v>10</v>
      </c>
      <c r="H341" s="17">
        <v>16</v>
      </c>
      <c r="I341" s="17" t="str">
        <f>IFERROR(VLOOKUP(C341,Merchants!$A$2:$D$41,2,FALSE),"Merchant not found")</f>
        <v>Merchant_026</v>
      </c>
      <c r="J341" s="17" t="str">
        <f>IFERROR(VLOOKUP(C341,Merchants!$A$2:$D$41,3,FALSE),"Merchant not found")</f>
        <v>food_delivery</v>
      </c>
      <c r="K341" s="17" t="str">
        <f>IFERROR(VLOOKUP(C341,Merchants!$A$2:$D$41,4,FALSE),"Merchant not found")</f>
        <v>East</v>
      </c>
      <c r="L341" s="19">
        <f>_xlfn.IFNA(HLOOKUP(F341,'MDR Rates'!$C$1:$F$2,2,FALSE),"N/A")</f>
        <v>0</v>
      </c>
      <c r="M341" s="20">
        <f t="shared" si="15"/>
        <v>46050</v>
      </c>
      <c r="N341" s="17">
        <f t="shared" si="17"/>
        <v>1499</v>
      </c>
      <c r="O341" s="17">
        <f>GETPIVOTDATA("amount_inr",'Pivot Table'!$A$3,"merchant_name",I341,"Date",M341)</f>
        <v>1499</v>
      </c>
      <c r="P341" s="17" t="str">
        <f t="shared" si="16"/>
        <v>Standard</v>
      </c>
    </row>
    <row r="342" spans="1:16">
      <c r="A342" s="17" t="s">
        <v>355</v>
      </c>
      <c r="B342" s="17">
        <v>288</v>
      </c>
      <c r="C342" s="17">
        <v>7</v>
      </c>
      <c r="D342" s="18">
        <v>46047.4805555556</v>
      </c>
      <c r="E342" s="17">
        <v>99</v>
      </c>
      <c r="F342" s="17" t="s">
        <v>15</v>
      </c>
      <c r="G342" s="17" t="s">
        <v>10</v>
      </c>
      <c r="H342" s="17">
        <v>40</v>
      </c>
      <c r="I342" s="17" t="str">
        <f>IFERROR(VLOOKUP(C342,Merchants!$A$2:$D$41,2,FALSE),"Merchant not found")</f>
        <v>Merchant_007</v>
      </c>
      <c r="J342" s="17" t="str">
        <f>IFERROR(VLOOKUP(C342,Merchants!$A$2:$D$41,3,FALSE),"Merchant not found")</f>
        <v>food_delivery</v>
      </c>
      <c r="K342" s="17" t="str">
        <f>IFERROR(VLOOKUP(C342,Merchants!$A$2:$D$41,4,FALSE),"Merchant not found")</f>
        <v>East</v>
      </c>
      <c r="L342" s="19">
        <f>_xlfn.IFNA(HLOOKUP(F342,'MDR Rates'!$C$1:$F$2,2,FALSE),"N/A")</f>
        <v>0.015</v>
      </c>
      <c r="M342" s="20">
        <f t="shared" si="15"/>
        <v>46047</v>
      </c>
      <c r="N342" s="17">
        <f t="shared" si="17"/>
        <v>99</v>
      </c>
      <c r="O342" s="17">
        <f>GETPIVOTDATA("amount_inr",'Pivot Table'!$A$3,"merchant_name",I342,"Date",M342)</f>
        <v>99</v>
      </c>
      <c r="P342" s="17" t="str">
        <f t="shared" si="16"/>
        <v>Standard</v>
      </c>
    </row>
    <row r="343" spans="1:16">
      <c r="A343" s="17" t="s">
        <v>356</v>
      </c>
      <c r="B343" s="17">
        <v>137</v>
      </c>
      <c r="C343" s="17">
        <v>29</v>
      </c>
      <c r="D343" s="18">
        <v>46030.5881944444</v>
      </c>
      <c r="E343" s="17">
        <v>2999</v>
      </c>
      <c r="F343" s="17" t="s">
        <v>12</v>
      </c>
      <c r="G343" s="17" t="s">
        <v>25</v>
      </c>
      <c r="H343" s="17">
        <v>31</v>
      </c>
      <c r="I343" s="17" t="str">
        <f>IFERROR(VLOOKUP(C343,Merchants!$A$2:$D$41,2,FALSE),"Merchant not found")</f>
        <v>Merchant_029</v>
      </c>
      <c r="J343" s="17" t="str">
        <f>IFERROR(VLOOKUP(C343,Merchants!$A$2:$D$41,3,FALSE),"Merchant not found")</f>
        <v>ecommerce</v>
      </c>
      <c r="K343" s="17" t="str">
        <f>IFERROR(VLOOKUP(C343,Merchants!$A$2:$D$41,4,FALSE),"Merchant not found")</f>
        <v>North</v>
      </c>
      <c r="L343" s="19">
        <f>_xlfn.IFNA(HLOOKUP(F343,'MDR Rates'!$C$1:$F$2,2,FALSE),"N/A")</f>
        <v>0</v>
      </c>
      <c r="M343" s="20">
        <f t="shared" si="15"/>
        <v>46030</v>
      </c>
      <c r="N343" s="17">
        <f t="shared" si="17"/>
        <v>2999</v>
      </c>
      <c r="O343" s="17">
        <f>GETPIVOTDATA("amount_inr",'Pivot Table'!$A$3,"merchant_name",I343,"Date",M343)</f>
        <v>2999</v>
      </c>
      <c r="P343" s="17" t="str">
        <f t="shared" si="16"/>
        <v>Standard</v>
      </c>
    </row>
    <row r="344" spans="1:16">
      <c r="A344" s="17" t="s">
        <v>357</v>
      </c>
      <c r="B344" s="17">
        <v>149</v>
      </c>
      <c r="C344" s="17">
        <v>25</v>
      </c>
      <c r="D344" s="18">
        <v>46027.1270833333</v>
      </c>
      <c r="E344" s="17">
        <v>1499</v>
      </c>
      <c r="F344" s="17" t="s">
        <v>12</v>
      </c>
      <c r="G344" s="17" t="s">
        <v>10</v>
      </c>
      <c r="H344" s="17">
        <v>78</v>
      </c>
      <c r="I344" s="17" t="str">
        <f>IFERROR(VLOOKUP(C344,Merchants!$A$2:$D$41,2,FALSE),"Merchant not found")</f>
        <v>Merchant_025</v>
      </c>
      <c r="J344" s="17" t="str">
        <f>IFERROR(VLOOKUP(C344,Merchants!$A$2:$D$41,3,FALSE),"Merchant not found")</f>
        <v>travel</v>
      </c>
      <c r="K344" s="17" t="str">
        <f>IFERROR(VLOOKUP(C344,Merchants!$A$2:$D$41,4,FALSE),"Merchant not found")</f>
        <v>South</v>
      </c>
      <c r="L344" s="19">
        <f>_xlfn.IFNA(HLOOKUP(F344,'MDR Rates'!$C$1:$F$2,2,FALSE),"N/A")</f>
        <v>0</v>
      </c>
      <c r="M344" s="20">
        <f t="shared" si="15"/>
        <v>46027</v>
      </c>
      <c r="N344" s="17">
        <f t="shared" si="17"/>
        <v>4498</v>
      </c>
      <c r="O344" s="17">
        <f>GETPIVOTDATA("amount_inr",'Pivot Table'!$A$3,"merchant_name",I344,"Date",M344)</f>
        <v>4498</v>
      </c>
      <c r="P344" s="17" t="str">
        <f t="shared" si="16"/>
        <v>Standard</v>
      </c>
    </row>
    <row r="345" spans="1:16">
      <c r="A345" s="17" t="s">
        <v>358</v>
      </c>
      <c r="B345" s="17">
        <v>82</v>
      </c>
      <c r="C345" s="17">
        <v>21</v>
      </c>
      <c r="D345" s="18">
        <v>46036.3298611111</v>
      </c>
      <c r="E345" s="17">
        <v>49</v>
      </c>
      <c r="F345" s="17" t="s">
        <v>9</v>
      </c>
      <c r="G345" s="17" t="s">
        <v>10</v>
      </c>
      <c r="H345" s="17">
        <v>73</v>
      </c>
      <c r="I345" s="17" t="str">
        <f>IFERROR(VLOOKUP(C345,Merchants!$A$2:$D$41,2,FALSE),"Merchant not found")</f>
        <v>Merchant_021</v>
      </c>
      <c r="J345" s="17" t="str">
        <f>IFERROR(VLOOKUP(C345,Merchants!$A$2:$D$41,3,FALSE),"Merchant not found")</f>
        <v>food_delivery</v>
      </c>
      <c r="K345" s="17" t="str">
        <f>IFERROR(VLOOKUP(C345,Merchants!$A$2:$D$41,4,FALSE),"Merchant not found")</f>
        <v>East</v>
      </c>
      <c r="L345" s="19">
        <f>_xlfn.IFNA(HLOOKUP(F345,'MDR Rates'!$C$1:$F$2,2,FALSE),"N/A")</f>
        <v>0.01</v>
      </c>
      <c r="M345" s="20">
        <f t="shared" si="15"/>
        <v>46036</v>
      </c>
      <c r="N345" s="17">
        <f t="shared" si="17"/>
        <v>49</v>
      </c>
      <c r="O345" s="17">
        <f>GETPIVOTDATA("amount_inr",'Pivot Table'!$A$3,"merchant_name",I345,"Date",M345)</f>
        <v>49</v>
      </c>
      <c r="P345" s="17" t="str">
        <f t="shared" si="16"/>
        <v>Standard</v>
      </c>
    </row>
    <row r="346" spans="1:16">
      <c r="A346" s="17" t="s">
        <v>359</v>
      </c>
      <c r="B346" s="17">
        <v>82</v>
      </c>
      <c r="C346" s="17">
        <v>32</v>
      </c>
      <c r="D346" s="18">
        <v>46046.425</v>
      </c>
      <c r="E346" s="17">
        <v>49</v>
      </c>
      <c r="F346" s="17" t="s">
        <v>12</v>
      </c>
      <c r="G346" s="17" t="s">
        <v>10</v>
      </c>
      <c r="H346" s="17">
        <v>65</v>
      </c>
      <c r="I346" s="17" t="str">
        <f>IFERROR(VLOOKUP(C346,Merchants!$A$2:$D$41,2,FALSE),"Merchant not found")</f>
        <v>Merchant_032</v>
      </c>
      <c r="J346" s="17" t="str">
        <f>IFERROR(VLOOKUP(C346,Merchants!$A$2:$D$41,3,FALSE),"Merchant not found")</f>
        <v>food_delivery</v>
      </c>
      <c r="K346" s="17" t="str">
        <f>IFERROR(VLOOKUP(C346,Merchants!$A$2:$D$41,4,FALSE),"Merchant not found")</f>
        <v>West</v>
      </c>
      <c r="L346" s="19">
        <f>_xlfn.IFNA(HLOOKUP(F346,'MDR Rates'!$C$1:$F$2,2,FALSE),"N/A")</f>
        <v>0</v>
      </c>
      <c r="M346" s="20">
        <f t="shared" si="15"/>
        <v>46046</v>
      </c>
      <c r="N346" s="17">
        <f t="shared" si="17"/>
        <v>49</v>
      </c>
      <c r="O346" s="17">
        <f>GETPIVOTDATA("amount_inr",'Pivot Table'!$A$3,"merchant_name",I346,"Date",M346)</f>
        <v>49</v>
      </c>
      <c r="P346" s="17" t="str">
        <f t="shared" si="16"/>
        <v>Standard</v>
      </c>
    </row>
    <row r="347" spans="1:16">
      <c r="A347" s="17" t="s">
        <v>360</v>
      </c>
      <c r="B347" s="17">
        <v>158</v>
      </c>
      <c r="C347" s="17">
        <v>32</v>
      </c>
      <c r="D347" s="18">
        <v>46037.6638888889</v>
      </c>
      <c r="E347" s="17">
        <v>99</v>
      </c>
      <c r="F347" s="17" t="s">
        <v>9</v>
      </c>
      <c r="G347" s="17" t="s">
        <v>10</v>
      </c>
      <c r="H347" s="17">
        <v>2</v>
      </c>
      <c r="I347" s="17" t="str">
        <f>IFERROR(VLOOKUP(C347,Merchants!$A$2:$D$41,2,FALSE),"Merchant not found")</f>
        <v>Merchant_032</v>
      </c>
      <c r="J347" s="17" t="str">
        <f>IFERROR(VLOOKUP(C347,Merchants!$A$2:$D$41,3,FALSE),"Merchant not found")</f>
        <v>food_delivery</v>
      </c>
      <c r="K347" s="17" t="str">
        <f>IFERROR(VLOOKUP(C347,Merchants!$A$2:$D$41,4,FALSE),"Merchant not found")</f>
        <v>West</v>
      </c>
      <c r="L347" s="19">
        <f>_xlfn.IFNA(HLOOKUP(F347,'MDR Rates'!$C$1:$F$2,2,FALSE),"N/A")</f>
        <v>0.01</v>
      </c>
      <c r="M347" s="20">
        <f t="shared" si="15"/>
        <v>46037</v>
      </c>
      <c r="N347" s="17">
        <f t="shared" si="17"/>
        <v>148</v>
      </c>
      <c r="O347" s="17">
        <f>GETPIVOTDATA("amount_inr",'Pivot Table'!$A$3,"merchant_name",I347,"Date",M347)</f>
        <v>148</v>
      </c>
      <c r="P347" s="17" t="str">
        <f t="shared" si="16"/>
        <v>Standard</v>
      </c>
    </row>
    <row r="348" spans="1:16">
      <c r="A348" s="17" t="s">
        <v>361</v>
      </c>
      <c r="B348" s="17">
        <v>235</v>
      </c>
      <c r="C348" s="17">
        <v>16</v>
      </c>
      <c r="D348" s="18">
        <v>46025.5222222222</v>
      </c>
      <c r="E348" s="17">
        <v>99</v>
      </c>
      <c r="F348" s="17" t="s">
        <v>12</v>
      </c>
      <c r="G348" s="17" t="s">
        <v>10</v>
      </c>
      <c r="H348" s="17">
        <v>27</v>
      </c>
      <c r="I348" s="17" t="str">
        <f>IFERROR(VLOOKUP(C348,Merchants!$A$2:$D$41,2,FALSE),"Merchant not found")</f>
        <v>Merchant_016</v>
      </c>
      <c r="J348" s="17" t="str">
        <f>IFERROR(VLOOKUP(C348,Merchants!$A$2:$D$41,3,FALSE),"Merchant not found")</f>
        <v>bill_payment</v>
      </c>
      <c r="K348" s="17" t="str">
        <f>IFERROR(VLOOKUP(C348,Merchants!$A$2:$D$41,4,FALSE),"Merchant not found")</f>
        <v>West</v>
      </c>
      <c r="L348" s="19">
        <f>_xlfn.IFNA(HLOOKUP(F348,'MDR Rates'!$C$1:$F$2,2,FALSE),"N/A")</f>
        <v>0</v>
      </c>
      <c r="M348" s="20">
        <f t="shared" si="15"/>
        <v>46025</v>
      </c>
      <c r="N348" s="17">
        <f t="shared" si="17"/>
        <v>99</v>
      </c>
      <c r="O348" s="17">
        <f>GETPIVOTDATA("amount_inr",'Pivot Table'!$A$3,"merchant_name",I348,"Date",M348)</f>
        <v>99</v>
      </c>
      <c r="P348" s="17" t="str">
        <f t="shared" si="16"/>
        <v>Standard</v>
      </c>
    </row>
    <row r="349" spans="1:16">
      <c r="A349" s="17" t="s">
        <v>362</v>
      </c>
      <c r="B349" s="17">
        <v>26</v>
      </c>
      <c r="C349" s="17">
        <v>19</v>
      </c>
      <c r="D349" s="18">
        <v>46041.4604166667</v>
      </c>
      <c r="E349" s="17">
        <v>99</v>
      </c>
      <c r="F349" s="17" t="s">
        <v>9</v>
      </c>
      <c r="G349" s="17" t="s">
        <v>10</v>
      </c>
      <c r="H349" s="17">
        <v>63</v>
      </c>
      <c r="I349" s="17" t="str">
        <f>IFERROR(VLOOKUP(C349,Merchants!$A$2:$D$41,2,FALSE),"Merchant not found")</f>
        <v>Merchant_019</v>
      </c>
      <c r="J349" s="17" t="str">
        <f>IFERROR(VLOOKUP(C349,Merchants!$A$2:$D$41,3,FALSE),"Merchant not found")</f>
        <v>grocery</v>
      </c>
      <c r="K349" s="17" t="str">
        <f>IFERROR(VLOOKUP(C349,Merchants!$A$2:$D$41,4,FALSE),"Merchant not found")</f>
        <v>North</v>
      </c>
      <c r="L349" s="19">
        <f>_xlfn.IFNA(HLOOKUP(F349,'MDR Rates'!$C$1:$F$2,2,FALSE),"N/A")</f>
        <v>0.01</v>
      </c>
      <c r="M349" s="20">
        <f t="shared" si="15"/>
        <v>46041</v>
      </c>
      <c r="N349" s="17">
        <f t="shared" si="17"/>
        <v>99</v>
      </c>
      <c r="O349" s="17">
        <f>GETPIVOTDATA("amount_inr",'Pivot Table'!$A$3,"merchant_name",I349,"Date",M349)</f>
        <v>99</v>
      </c>
      <c r="P349" s="17" t="str">
        <f t="shared" si="16"/>
        <v>Standard</v>
      </c>
    </row>
    <row r="350" spans="1:16">
      <c r="A350" s="17" t="s">
        <v>363</v>
      </c>
      <c r="B350" s="17">
        <v>241</v>
      </c>
      <c r="C350" s="17">
        <v>19</v>
      </c>
      <c r="D350" s="18">
        <v>46042.8631944444</v>
      </c>
      <c r="E350" s="17">
        <v>299</v>
      </c>
      <c r="F350" s="17" t="s">
        <v>12</v>
      </c>
      <c r="G350" s="17" t="s">
        <v>10</v>
      </c>
      <c r="H350" s="17">
        <v>68</v>
      </c>
      <c r="I350" s="17" t="str">
        <f>IFERROR(VLOOKUP(C350,Merchants!$A$2:$D$41,2,FALSE),"Merchant not found")</f>
        <v>Merchant_019</v>
      </c>
      <c r="J350" s="17" t="str">
        <f>IFERROR(VLOOKUP(C350,Merchants!$A$2:$D$41,3,FALSE),"Merchant not found")</f>
        <v>grocery</v>
      </c>
      <c r="K350" s="17" t="str">
        <f>IFERROR(VLOOKUP(C350,Merchants!$A$2:$D$41,4,FALSE),"Merchant not found")</f>
        <v>North</v>
      </c>
      <c r="L350" s="19">
        <f>_xlfn.IFNA(HLOOKUP(F350,'MDR Rates'!$C$1:$F$2,2,FALSE),"N/A")</f>
        <v>0</v>
      </c>
      <c r="M350" s="20">
        <f t="shared" si="15"/>
        <v>46042</v>
      </c>
      <c r="N350" s="17">
        <f t="shared" si="17"/>
        <v>348</v>
      </c>
      <c r="O350" s="17">
        <f>GETPIVOTDATA("amount_inr",'Pivot Table'!$A$3,"merchant_name",I350,"Date",M350)</f>
        <v>348</v>
      </c>
      <c r="P350" s="17" t="str">
        <f t="shared" si="16"/>
        <v>Standard</v>
      </c>
    </row>
    <row r="351" spans="1:16">
      <c r="A351" s="17" t="s">
        <v>364</v>
      </c>
      <c r="B351" s="17">
        <v>69</v>
      </c>
      <c r="C351" s="17">
        <v>17</v>
      </c>
      <c r="D351" s="18">
        <v>46023.14375</v>
      </c>
      <c r="E351" s="17">
        <v>1499</v>
      </c>
      <c r="F351" s="17" t="s">
        <v>12</v>
      </c>
      <c r="G351" s="17" t="s">
        <v>10</v>
      </c>
      <c r="H351" s="17">
        <v>93</v>
      </c>
      <c r="I351" s="17" t="str">
        <f>IFERROR(VLOOKUP(C351,Merchants!$A$2:$D$41,2,FALSE),"Merchant not found")</f>
        <v>Merchant_017</v>
      </c>
      <c r="J351" s="17" t="str">
        <f>IFERROR(VLOOKUP(C351,Merchants!$A$2:$D$41,3,FALSE),"Merchant not found")</f>
        <v>grocery</v>
      </c>
      <c r="K351" s="17" t="str">
        <f>IFERROR(VLOOKUP(C351,Merchants!$A$2:$D$41,4,FALSE),"Merchant not found")</f>
        <v>North</v>
      </c>
      <c r="L351" s="19">
        <f>_xlfn.IFNA(HLOOKUP(F351,'MDR Rates'!$C$1:$F$2,2,FALSE),"N/A")</f>
        <v>0</v>
      </c>
      <c r="M351" s="20">
        <f t="shared" si="15"/>
        <v>46023</v>
      </c>
      <c r="N351" s="17">
        <f t="shared" si="17"/>
        <v>1499</v>
      </c>
      <c r="O351" s="17">
        <f>GETPIVOTDATA("amount_inr",'Pivot Table'!$A$3,"merchant_name",I351,"Date",M351)</f>
        <v>1499</v>
      </c>
      <c r="P351" s="17" t="str">
        <f t="shared" si="16"/>
        <v>Standard</v>
      </c>
    </row>
    <row r="352" spans="1:16">
      <c r="A352" s="17" t="s">
        <v>365</v>
      </c>
      <c r="B352" s="17">
        <v>24</v>
      </c>
      <c r="C352" s="17">
        <v>26</v>
      </c>
      <c r="D352" s="18">
        <v>46034.5159722222</v>
      </c>
      <c r="E352" s="17">
        <v>299</v>
      </c>
      <c r="F352" s="17" t="s">
        <v>15</v>
      </c>
      <c r="G352" s="17" t="s">
        <v>10</v>
      </c>
      <c r="H352" s="17">
        <v>6</v>
      </c>
      <c r="I352" s="17" t="str">
        <f>IFERROR(VLOOKUP(C352,Merchants!$A$2:$D$41,2,FALSE),"Merchant not found")</f>
        <v>Merchant_026</v>
      </c>
      <c r="J352" s="17" t="str">
        <f>IFERROR(VLOOKUP(C352,Merchants!$A$2:$D$41,3,FALSE),"Merchant not found")</f>
        <v>food_delivery</v>
      </c>
      <c r="K352" s="17" t="str">
        <f>IFERROR(VLOOKUP(C352,Merchants!$A$2:$D$41,4,FALSE),"Merchant not found")</f>
        <v>East</v>
      </c>
      <c r="L352" s="19">
        <f>_xlfn.IFNA(HLOOKUP(F352,'MDR Rates'!$C$1:$F$2,2,FALSE),"N/A")</f>
        <v>0.015</v>
      </c>
      <c r="M352" s="20">
        <f t="shared" si="15"/>
        <v>46034</v>
      </c>
      <c r="N352" s="17">
        <f t="shared" si="17"/>
        <v>299</v>
      </c>
      <c r="O352" s="17">
        <f>GETPIVOTDATA("amount_inr",'Pivot Table'!$A$3,"merchant_name",I352,"Date",M352)</f>
        <v>299</v>
      </c>
      <c r="P352" s="17" t="str">
        <f t="shared" si="16"/>
        <v>Standard</v>
      </c>
    </row>
    <row r="353" spans="1:16">
      <c r="A353" s="17" t="s">
        <v>366</v>
      </c>
      <c r="B353" s="17">
        <v>186</v>
      </c>
      <c r="C353" s="17">
        <v>36</v>
      </c>
      <c r="D353" s="18">
        <v>46041.7166666667</v>
      </c>
      <c r="E353" s="17">
        <v>4999</v>
      </c>
      <c r="F353" s="17" t="s">
        <v>12</v>
      </c>
      <c r="G353" s="17" t="s">
        <v>10</v>
      </c>
      <c r="H353" s="17">
        <v>36</v>
      </c>
      <c r="I353" s="17" t="str">
        <f>IFERROR(VLOOKUP(C353,Merchants!$A$2:$D$41,2,FALSE),"Merchant not found")</f>
        <v>Merchant_036</v>
      </c>
      <c r="J353" s="17" t="str">
        <f>IFERROR(VLOOKUP(C353,Merchants!$A$2:$D$41,3,FALSE),"Merchant not found")</f>
        <v>entertainment</v>
      </c>
      <c r="K353" s="17" t="str">
        <f>IFERROR(VLOOKUP(C353,Merchants!$A$2:$D$41,4,FALSE),"Merchant not found")</f>
        <v>East</v>
      </c>
      <c r="L353" s="19">
        <f>_xlfn.IFNA(HLOOKUP(F353,'MDR Rates'!$C$1:$F$2,2,FALSE),"N/A")</f>
        <v>0</v>
      </c>
      <c r="M353" s="20">
        <f t="shared" si="15"/>
        <v>46041</v>
      </c>
      <c r="N353" s="17">
        <f t="shared" si="17"/>
        <v>4999</v>
      </c>
      <c r="O353" s="17">
        <f>GETPIVOTDATA("amount_inr",'Pivot Table'!$A$3,"merchant_name",I353,"Date",M353)</f>
        <v>4999</v>
      </c>
      <c r="P353" s="17" t="str">
        <f t="shared" si="16"/>
        <v>Standard</v>
      </c>
    </row>
    <row r="354" spans="1:16">
      <c r="A354" s="17" t="s">
        <v>367</v>
      </c>
      <c r="B354" s="17">
        <v>231</v>
      </c>
      <c r="C354" s="17">
        <v>36</v>
      </c>
      <c r="D354" s="18">
        <v>46025.5222222222</v>
      </c>
      <c r="E354" s="17">
        <v>149</v>
      </c>
      <c r="F354" s="17" t="s">
        <v>12</v>
      </c>
      <c r="G354" s="17" t="s">
        <v>10</v>
      </c>
      <c r="H354" s="17">
        <v>35</v>
      </c>
      <c r="I354" s="17" t="str">
        <f>IFERROR(VLOOKUP(C354,Merchants!$A$2:$D$41,2,FALSE),"Merchant not found")</f>
        <v>Merchant_036</v>
      </c>
      <c r="J354" s="17" t="str">
        <f>IFERROR(VLOOKUP(C354,Merchants!$A$2:$D$41,3,FALSE),"Merchant not found")</f>
        <v>entertainment</v>
      </c>
      <c r="K354" s="17" t="str">
        <f>IFERROR(VLOOKUP(C354,Merchants!$A$2:$D$41,4,FALSE),"Merchant not found")</f>
        <v>East</v>
      </c>
      <c r="L354" s="19">
        <f>_xlfn.IFNA(HLOOKUP(F354,'MDR Rates'!$C$1:$F$2,2,FALSE),"N/A")</f>
        <v>0</v>
      </c>
      <c r="M354" s="20">
        <f t="shared" si="15"/>
        <v>46025</v>
      </c>
      <c r="N354" s="17">
        <f t="shared" si="17"/>
        <v>248</v>
      </c>
      <c r="O354" s="17">
        <f>GETPIVOTDATA("amount_inr",'Pivot Table'!$A$3,"merchant_name",I354,"Date",M354)</f>
        <v>248</v>
      </c>
      <c r="P354" s="17" t="str">
        <f t="shared" si="16"/>
        <v>Standard</v>
      </c>
    </row>
    <row r="355" spans="1:16">
      <c r="A355" s="17" t="s">
        <v>368</v>
      </c>
      <c r="B355" s="17">
        <v>313</v>
      </c>
      <c r="C355" s="17">
        <v>8</v>
      </c>
      <c r="D355" s="18">
        <v>46049.8215277778</v>
      </c>
      <c r="E355" s="17">
        <v>1499</v>
      </c>
      <c r="F355" s="17" t="s">
        <v>15</v>
      </c>
      <c r="G355" s="17" t="s">
        <v>10</v>
      </c>
      <c r="H355" s="17">
        <v>16</v>
      </c>
      <c r="I355" s="17" t="str">
        <f>IFERROR(VLOOKUP(C355,Merchants!$A$2:$D$41,2,FALSE),"Merchant not found")</f>
        <v>Merchant_008</v>
      </c>
      <c r="J355" s="17" t="str">
        <f>IFERROR(VLOOKUP(C355,Merchants!$A$2:$D$41,3,FALSE),"Merchant not found")</f>
        <v>food_delivery</v>
      </c>
      <c r="K355" s="17" t="str">
        <f>IFERROR(VLOOKUP(C355,Merchants!$A$2:$D$41,4,FALSE),"Merchant not found")</f>
        <v>North</v>
      </c>
      <c r="L355" s="19">
        <f>_xlfn.IFNA(HLOOKUP(F355,'MDR Rates'!$C$1:$F$2,2,FALSE),"N/A")</f>
        <v>0.015</v>
      </c>
      <c r="M355" s="20">
        <f t="shared" si="15"/>
        <v>46049</v>
      </c>
      <c r="N355" s="17">
        <f t="shared" si="17"/>
        <v>1499</v>
      </c>
      <c r="O355" s="17">
        <f>GETPIVOTDATA("amount_inr",'Pivot Table'!$A$3,"merchant_name",I355,"Date",M355)</f>
        <v>1499</v>
      </c>
      <c r="P355" s="17" t="str">
        <f t="shared" si="16"/>
        <v>Standard</v>
      </c>
    </row>
    <row r="356" spans="1:16">
      <c r="A356" s="17" t="s">
        <v>369</v>
      </c>
      <c r="B356" s="17">
        <v>174</v>
      </c>
      <c r="C356" s="17">
        <v>36</v>
      </c>
      <c r="D356" s="18">
        <v>46026.5159722222</v>
      </c>
      <c r="E356" s="17">
        <v>149</v>
      </c>
      <c r="F356" s="17" t="s">
        <v>12</v>
      </c>
      <c r="G356" s="17" t="s">
        <v>10</v>
      </c>
      <c r="H356" s="17">
        <v>46</v>
      </c>
      <c r="I356" s="17" t="str">
        <f>IFERROR(VLOOKUP(C356,Merchants!$A$2:$D$41,2,FALSE),"Merchant not found")</f>
        <v>Merchant_036</v>
      </c>
      <c r="J356" s="17" t="str">
        <f>IFERROR(VLOOKUP(C356,Merchants!$A$2:$D$41,3,FALSE),"Merchant not found")</f>
        <v>entertainment</v>
      </c>
      <c r="K356" s="17" t="str">
        <f>IFERROR(VLOOKUP(C356,Merchants!$A$2:$D$41,4,FALSE),"Merchant not found")</f>
        <v>East</v>
      </c>
      <c r="L356" s="19">
        <f>_xlfn.IFNA(HLOOKUP(F356,'MDR Rates'!$C$1:$F$2,2,FALSE),"N/A")</f>
        <v>0</v>
      </c>
      <c r="M356" s="20">
        <f t="shared" si="15"/>
        <v>46026</v>
      </c>
      <c r="N356" s="17">
        <f t="shared" si="17"/>
        <v>149</v>
      </c>
      <c r="O356" s="17">
        <f>GETPIVOTDATA("amount_inr",'Pivot Table'!$A$3,"merchant_name",I356,"Date",M356)</f>
        <v>149</v>
      </c>
      <c r="P356" s="17" t="str">
        <f t="shared" si="16"/>
        <v>Standard</v>
      </c>
    </row>
    <row r="357" spans="1:16">
      <c r="A357" s="17" t="s">
        <v>370</v>
      </c>
      <c r="B357" s="17">
        <v>309</v>
      </c>
      <c r="C357" s="17">
        <v>33</v>
      </c>
      <c r="D357" s="18">
        <v>46047.175</v>
      </c>
      <c r="E357" s="17">
        <v>99</v>
      </c>
      <c r="F357" s="17" t="s">
        <v>12</v>
      </c>
      <c r="G357" s="17" t="s">
        <v>10</v>
      </c>
      <c r="H357" s="17">
        <v>51</v>
      </c>
      <c r="I357" s="17" t="str">
        <f>IFERROR(VLOOKUP(C357,Merchants!$A$2:$D$41,2,FALSE),"Merchant not found")</f>
        <v>Merchant_033</v>
      </c>
      <c r="J357" s="17" t="str">
        <f>IFERROR(VLOOKUP(C357,Merchants!$A$2:$D$41,3,FALSE),"Merchant not found")</f>
        <v>bill_payment</v>
      </c>
      <c r="K357" s="17" t="str">
        <f>IFERROR(VLOOKUP(C357,Merchants!$A$2:$D$41,4,FALSE),"Merchant not found")</f>
        <v>East</v>
      </c>
      <c r="L357" s="19">
        <f>_xlfn.IFNA(HLOOKUP(F357,'MDR Rates'!$C$1:$F$2,2,FALSE),"N/A")</f>
        <v>0</v>
      </c>
      <c r="M357" s="20">
        <f t="shared" si="15"/>
        <v>46047</v>
      </c>
      <c r="N357" s="17">
        <f t="shared" si="17"/>
        <v>99</v>
      </c>
      <c r="O357" s="17">
        <f>GETPIVOTDATA("amount_inr",'Pivot Table'!$A$3,"merchant_name",I357,"Date",M357)</f>
        <v>99</v>
      </c>
      <c r="P357" s="17" t="str">
        <f t="shared" si="16"/>
        <v>Standard</v>
      </c>
    </row>
    <row r="358" spans="1:16">
      <c r="A358" s="17" t="s">
        <v>371</v>
      </c>
      <c r="B358" s="17">
        <v>20</v>
      </c>
      <c r="C358" s="17">
        <v>9</v>
      </c>
      <c r="D358" s="18">
        <v>46039.0430555556</v>
      </c>
      <c r="E358" s="17">
        <v>99</v>
      </c>
      <c r="F358" s="17" t="s">
        <v>12</v>
      </c>
      <c r="G358" s="17" t="s">
        <v>10</v>
      </c>
      <c r="H358" s="17">
        <v>91</v>
      </c>
      <c r="I358" s="17" t="str">
        <f>IFERROR(VLOOKUP(C358,Merchants!$A$2:$D$41,2,FALSE),"Merchant not found")</f>
        <v>Merchant_009</v>
      </c>
      <c r="J358" s="17" t="str">
        <f>IFERROR(VLOOKUP(C358,Merchants!$A$2:$D$41,3,FALSE),"Merchant not found")</f>
        <v>ecommerce</v>
      </c>
      <c r="K358" s="17" t="str">
        <f>IFERROR(VLOOKUP(C358,Merchants!$A$2:$D$41,4,FALSE),"Merchant not found")</f>
        <v>North</v>
      </c>
      <c r="L358" s="19">
        <f>_xlfn.IFNA(HLOOKUP(F358,'MDR Rates'!$C$1:$F$2,2,FALSE),"N/A")</f>
        <v>0</v>
      </c>
      <c r="M358" s="20">
        <f t="shared" si="15"/>
        <v>46039</v>
      </c>
      <c r="N358" s="17">
        <f t="shared" si="17"/>
        <v>248</v>
      </c>
      <c r="O358" s="17">
        <f>GETPIVOTDATA("amount_inr",'Pivot Table'!$A$3,"merchant_name",I358,"Date",M358)</f>
        <v>248</v>
      </c>
      <c r="P358" s="17" t="str">
        <f t="shared" si="16"/>
        <v>Standard</v>
      </c>
    </row>
    <row r="359" spans="1:16">
      <c r="A359" s="17" t="s">
        <v>372</v>
      </c>
      <c r="B359" s="17">
        <v>234</v>
      </c>
      <c r="C359" s="17">
        <v>10</v>
      </c>
      <c r="D359" s="18">
        <v>46033.6479166667</v>
      </c>
      <c r="E359" s="17">
        <v>49</v>
      </c>
      <c r="F359" s="17" t="s">
        <v>12</v>
      </c>
      <c r="G359" s="17" t="s">
        <v>10</v>
      </c>
      <c r="H359" s="17">
        <v>77</v>
      </c>
      <c r="I359" s="17" t="str">
        <f>IFERROR(VLOOKUP(C359,Merchants!$A$2:$D$41,2,FALSE),"Merchant not found")</f>
        <v>Merchant_010</v>
      </c>
      <c r="J359" s="17" t="str">
        <f>IFERROR(VLOOKUP(C359,Merchants!$A$2:$D$41,3,FALSE),"Merchant not found")</f>
        <v>grocery</v>
      </c>
      <c r="K359" s="17" t="str">
        <f>IFERROR(VLOOKUP(C359,Merchants!$A$2:$D$41,4,FALSE),"Merchant not found")</f>
        <v>West</v>
      </c>
      <c r="L359" s="19">
        <f>_xlfn.IFNA(HLOOKUP(F359,'MDR Rates'!$C$1:$F$2,2,FALSE),"N/A")</f>
        <v>0</v>
      </c>
      <c r="M359" s="20">
        <f t="shared" si="15"/>
        <v>46033</v>
      </c>
      <c r="N359" s="17">
        <f t="shared" si="17"/>
        <v>98</v>
      </c>
      <c r="O359" s="17">
        <f>GETPIVOTDATA("amount_inr",'Pivot Table'!$A$3,"merchant_name",I359,"Date",M359)</f>
        <v>98</v>
      </c>
      <c r="P359" s="17" t="str">
        <f t="shared" si="16"/>
        <v>Standard</v>
      </c>
    </row>
    <row r="360" spans="1:16">
      <c r="A360" s="17" t="s">
        <v>373</v>
      </c>
      <c r="B360" s="17">
        <v>168</v>
      </c>
      <c r="C360" s="17">
        <v>40</v>
      </c>
      <c r="D360" s="18">
        <v>46051.6722222222</v>
      </c>
      <c r="E360" s="17">
        <v>149</v>
      </c>
      <c r="F360" s="17" t="s">
        <v>12</v>
      </c>
      <c r="G360" s="17" t="s">
        <v>38</v>
      </c>
      <c r="H360" s="17">
        <v>40</v>
      </c>
      <c r="I360" s="17" t="str">
        <f>IFERROR(VLOOKUP(C360,Merchants!$A$2:$D$41,2,FALSE),"Merchant not found")</f>
        <v>Merchant_040</v>
      </c>
      <c r="J360" s="17" t="str">
        <f>IFERROR(VLOOKUP(C360,Merchants!$A$2:$D$41,3,FALSE),"Merchant not found")</f>
        <v>entertainment</v>
      </c>
      <c r="K360" s="17" t="str">
        <f>IFERROR(VLOOKUP(C360,Merchants!$A$2:$D$41,4,FALSE),"Merchant not found")</f>
        <v>South</v>
      </c>
      <c r="L360" s="19">
        <f>_xlfn.IFNA(HLOOKUP(F360,'MDR Rates'!$C$1:$F$2,2,FALSE),"N/A")</f>
        <v>0</v>
      </c>
      <c r="M360" s="20">
        <f t="shared" si="15"/>
        <v>46051</v>
      </c>
      <c r="N360" s="17">
        <f t="shared" si="17"/>
        <v>149</v>
      </c>
      <c r="O360" s="17">
        <f>GETPIVOTDATA("amount_inr",'Pivot Table'!$A$3,"merchant_name",I360,"Date",M360)</f>
        <v>149</v>
      </c>
      <c r="P360" s="17" t="str">
        <f t="shared" si="16"/>
        <v>Standard</v>
      </c>
    </row>
    <row r="361" spans="1:16">
      <c r="A361" s="17" t="s">
        <v>374</v>
      </c>
      <c r="B361" s="17">
        <v>154</v>
      </c>
      <c r="C361" s="17">
        <v>38</v>
      </c>
      <c r="D361" s="18">
        <v>46028.5270833333</v>
      </c>
      <c r="E361" s="17">
        <v>99</v>
      </c>
      <c r="F361" s="17" t="s">
        <v>15</v>
      </c>
      <c r="G361" s="17" t="s">
        <v>10</v>
      </c>
      <c r="H361" s="17">
        <v>43</v>
      </c>
      <c r="I361" s="17" t="str">
        <f>IFERROR(VLOOKUP(C361,Merchants!$A$2:$D$41,2,FALSE),"Merchant not found")</f>
        <v>Merchant_038</v>
      </c>
      <c r="J361" s="17" t="str">
        <f>IFERROR(VLOOKUP(C361,Merchants!$A$2:$D$41,3,FALSE),"Merchant not found")</f>
        <v>grocery</v>
      </c>
      <c r="K361" s="17" t="str">
        <f>IFERROR(VLOOKUP(C361,Merchants!$A$2:$D$41,4,FALSE),"Merchant not found")</f>
        <v>East</v>
      </c>
      <c r="L361" s="19">
        <f>_xlfn.IFNA(HLOOKUP(F361,'MDR Rates'!$C$1:$F$2,2,FALSE),"N/A")</f>
        <v>0.015</v>
      </c>
      <c r="M361" s="20">
        <f t="shared" si="15"/>
        <v>46028</v>
      </c>
      <c r="N361" s="17">
        <f t="shared" si="17"/>
        <v>99</v>
      </c>
      <c r="O361" s="17">
        <f>GETPIVOTDATA("amount_inr",'Pivot Table'!$A$3,"merchant_name",I361,"Date",M361)</f>
        <v>99</v>
      </c>
      <c r="P361" s="17" t="str">
        <f t="shared" si="16"/>
        <v>Standard</v>
      </c>
    </row>
    <row r="362" spans="1:16">
      <c r="A362" s="17" t="s">
        <v>375</v>
      </c>
      <c r="B362" s="17">
        <v>251</v>
      </c>
      <c r="C362" s="17">
        <v>37</v>
      </c>
      <c r="D362" s="18">
        <v>46039.6902777778</v>
      </c>
      <c r="E362" s="17">
        <v>49</v>
      </c>
      <c r="F362" s="17" t="s">
        <v>12</v>
      </c>
      <c r="G362" s="17" t="s">
        <v>10</v>
      </c>
      <c r="H362" s="17">
        <v>38</v>
      </c>
      <c r="I362" s="17" t="str">
        <f>IFERROR(VLOOKUP(C362,Merchants!$A$2:$D$41,2,FALSE),"Merchant not found")</f>
        <v>Merchant_037</v>
      </c>
      <c r="J362" s="17" t="str">
        <f>IFERROR(VLOOKUP(C362,Merchants!$A$2:$D$41,3,FALSE),"Merchant not found")</f>
        <v>entertainment</v>
      </c>
      <c r="K362" s="17" t="str">
        <f>IFERROR(VLOOKUP(C362,Merchants!$A$2:$D$41,4,FALSE),"Merchant not found")</f>
        <v>South</v>
      </c>
      <c r="L362" s="19">
        <f>_xlfn.IFNA(HLOOKUP(F362,'MDR Rates'!$C$1:$F$2,2,FALSE),"N/A")</f>
        <v>0</v>
      </c>
      <c r="M362" s="20">
        <f t="shared" si="15"/>
        <v>46039</v>
      </c>
      <c r="N362" s="17">
        <f t="shared" si="17"/>
        <v>49</v>
      </c>
      <c r="O362" s="17">
        <f>GETPIVOTDATA("amount_inr",'Pivot Table'!$A$3,"merchant_name",I362,"Date",M362)</f>
        <v>49</v>
      </c>
      <c r="P362" s="17" t="str">
        <f t="shared" si="16"/>
        <v>Standard</v>
      </c>
    </row>
    <row r="363" spans="1:16">
      <c r="A363" s="17" t="s">
        <v>376</v>
      </c>
      <c r="B363" s="17">
        <v>170</v>
      </c>
      <c r="C363" s="17">
        <v>8</v>
      </c>
      <c r="D363" s="18">
        <v>46038.0159722222</v>
      </c>
      <c r="E363" s="17">
        <v>2999</v>
      </c>
      <c r="F363" s="17" t="s">
        <v>12</v>
      </c>
      <c r="G363" s="17" t="s">
        <v>10</v>
      </c>
      <c r="H363" s="17">
        <v>53</v>
      </c>
      <c r="I363" s="17" t="str">
        <f>IFERROR(VLOOKUP(C363,Merchants!$A$2:$D$41,2,FALSE),"Merchant not found")</f>
        <v>Merchant_008</v>
      </c>
      <c r="J363" s="17" t="str">
        <f>IFERROR(VLOOKUP(C363,Merchants!$A$2:$D$41,3,FALSE),"Merchant not found")</f>
        <v>food_delivery</v>
      </c>
      <c r="K363" s="17" t="str">
        <f>IFERROR(VLOOKUP(C363,Merchants!$A$2:$D$41,4,FALSE),"Merchant not found")</f>
        <v>North</v>
      </c>
      <c r="L363" s="19">
        <f>_xlfn.IFNA(HLOOKUP(F363,'MDR Rates'!$C$1:$F$2,2,FALSE),"N/A")</f>
        <v>0</v>
      </c>
      <c r="M363" s="20">
        <f t="shared" si="15"/>
        <v>46038</v>
      </c>
      <c r="N363" s="17">
        <f t="shared" si="17"/>
        <v>2999</v>
      </c>
      <c r="O363" s="17">
        <f>GETPIVOTDATA("amount_inr",'Pivot Table'!$A$3,"merchant_name",I363,"Date",M363)</f>
        <v>2999</v>
      </c>
      <c r="P363" s="17" t="str">
        <f t="shared" si="16"/>
        <v>Standard</v>
      </c>
    </row>
    <row r="364" spans="1:16">
      <c r="A364" s="17" t="s">
        <v>377</v>
      </c>
      <c r="B364" s="17">
        <v>323</v>
      </c>
      <c r="C364" s="17">
        <v>2</v>
      </c>
      <c r="D364" s="18">
        <v>46041.4097222222</v>
      </c>
      <c r="E364" s="17">
        <v>49</v>
      </c>
      <c r="F364" s="17" t="s">
        <v>15</v>
      </c>
      <c r="G364" s="17" t="s">
        <v>10</v>
      </c>
      <c r="H364" s="17">
        <v>76</v>
      </c>
      <c r="I364" s="17" t="str">
        <f>IFERROR(VLOOKUP(C364,Merchants!$A$2:$D$41,2,FALSE),"Merchant not found")</f>
        <v>Merchant_002</v>
      </c>
      <c r="J364" s="17" t="str">
        <f>IFERROR(VLOOKUP(C364,Merchants!$A$2:$D$41,3,FALSE),"Merchant not found")</f>
        <v>grocery</v>
      </c>
      <c r="K364" s="17" t="str">
        <f>IFERROR(VLOOKUP(C364,Merchants!$A$2:$D$41,4,FALSE),"Merchant not found")</f>
        <v>West</v>
      </c>
      <c r="L364" s="19">
        <f>_xlfn.IFNA(HLOOKUP(F364,'MDR Rates'!$C$1:$F$2,2,FALSE),"N/A")</f>
        <v>0.015</v>
      </c>
      <c r="M364" s="20">
        <f t="shared" si="15"/>
        <v>46041</v>
      </c>
      <c r="N364" s="17">
        <f t="shared" si="17"/>
        <v>49</v>
      </c>
      <c r="O364" s="17">
        <f>GETPIVOTDATA("amount_inr",'Pivot Table'!$A$3,"merchant_name",I364,"Date",M364)</f>
        <v>49</v>
      </c>
      <c r="P364" s="17" t="str">
        <f t="shared" si="16"/>
        <v>Standard</v>
      </c>
    </row>
    <row r="365" spans="1:16">
      <c r="A365" s="17" t="s">
        <v>378</v>
      </c>
      <c r="B365" s="17">
        <v>297</v>
      </c>
      <c r="C365" s="17">
        <v>37</v>
      </c>
      <c r="D365" s="18">
        <v>46038.3618055556</v>
      </c>
      <c r="E365" s="17">
        <v>2999</v>
      </c>
      <c r="F365" s="17" t="s">
        <v>9</v>
      </c>
      <c r="G365" s="17" t="s">
        <v>10</v>
      </c>
      <c r="H365" s="17">
        <v>29</v>
      </c>
      <c r="I365" s="17" t="str">
        <f>IFERROR(VLOOKUP(C365,Merchants!$A$2:$D$41,2,FALSE),"Merchant not found")</f>
        <v>Merchant_037</v>
      </c>
      <c r="J365" s="17" t="str">
        <f>IFERROR(VLOOKUP(C365,Merchants!$A$2:$D$41,3,FALSE),"Merchant not found")</f>
        <v>entertainment</v>
      </c>
      <c r="K365" s="17" t="str">
        <f>IFERROR(VLOOKUP(C365,Merchants!$A$2:$D$41,4,FALSE),"Merchant not found")</f>
        <v>South</v>
      </c>
      <c r="L365" s="19">
        <f>_xlfn.IFNA(HLOOKUP(F365,'MDR Rates'!$C$1:$F$2,2,FALSE),"N/A")</f>
        <v>0.01</v>
      </c>
      <c r="M365" s="20">
        <f t="shared" si="15"/>
        <v>46038</v>
      </c>
      <c r="N365" s="17">
        <f t="shared" si="17"/>
        <v>2999</v>
      </c>
      <c r="O365" s="17">
        <f>GETPIVOTDATA("amount_inr",'Pivot Table'!$A$3,"merchant_name",I365,"Date",M365)</f>
        <v>2999</v>
      </c>
      <c r="P365" s="17" t="str">
        <f t="shared" si="16"/>
        <v>Standard</v>
      </c>
    </row>
    <row r="366" spans="1:16">
      <c r="A366" s="17" t="s">
        <v>379</v>
      </c>
      <c r="B366" s="17">
        <v>246</v>
      </c>
      <c r="C366" s="17">
        <v>11</v>
      </c>
      <c r="D366" s="18">
        <v>46046.0673611111</v>
      </c>
      <c r="E366" s="17">
        <v>299</v>
      </c>
      <c r="F366" s="17" t="s">
        <v>12</v>
      </c>
      <c r="G366" s="17" t="s">
        <v>10</v>
      </c>
      <c r="H366" s="17">
        <v>67</v>
      </c>
      <c r="I366" s="17" t="str">
        <f>IFERROR(VLOOKUP(C366,Merchants!$A$2:$D$41,2,FALSE),"Merchant not found")</f>
        <v>Merchant_011</v>
      </c>
      <c r="J366" s="17" t="str">
        <f>IFERROR(VLOOKUP(C366,Merchants!$A$2:$D$41,3,FALSE),"Merchant not found")</f>
        <v>ecommerce</v>
      </c>
      <c r="K366" s="17" t="str">
        <f>IFERROR(VLOOKUP(C366,Merchants!$A$2:$D$41,4,FALSE),"Merchant not found")</f>
        <v>North</v>
      </c>
      <c r="L366" s="19">
        <f>_xlfn.IFNA(HLOOKUP(F366,'MDR Rates'!$C$1:$F$2,2,FALSE),"N/A")</f>
        <v>0</v>
      </c>
      <c r="M366" s="20">
        <f t="shared" si="15"/>
        <v>46046</v>
      </c>
      <c r="N366" s="17">
        <f t="shared" si="17"/>
        <v>1798</v>
      </c>
      <c r="O366" s="17">
        <f>GETPIVOTDATA("amount_inr",'Pivot Table'!$A$3,"merchant_name",I366,"Date",M366)</f>
        <v>1798</v>
      </c>
      <c r="P366" s="17" t="str">
        <f t="shared" si="16"/>
        <v>Standard</v>
      </c>
    </row>
    <row r="367" spans="1:16">
      <c r="A367" s="17" t="s">
        <v>380</v>
      </c>
      <c r="B367" s="17">
        <v>195</v>
      </c>
      <c r="C367" s="17">
        <v>10</v>
      </c>
      <c r="D367" s="18">
        <v>46043.9854166667</v>
      </c>
      <c r="E367" s="17">
        <v>99</v>
      </c>
      <c r="F367" s="17" t="s">
        <v>12</v>
      </c>
      <c r="G367" s="17" t="s">
        <v>10</v>
      </c>
      <c r="H367" s="17">
        <v>87</v>
      </c>
      <c r="I367" s="17" t="str">
        <f>IFERROR(VLOOKUP(C367,Merchants!$A$2:$D$41,2,FALSE),"Merchant not found")</f>
        <v>Merchant_010</v>
      </c>
      <c r="J367" s="17" t="str">
        <f>IFERROR(VLOOKUP(C367,Merchants!$A$2:$D$41,3,FALSE),"Merchant not found")</f>
        <v>grocery</v>
      </c>
      <c r="K367" s="17" t="str">
        <f>IFERROR(VLOOKUP(C367,Merchants!$A$2:$D$41,4,FALSE),"Merchant not found")</f>
        <v>West</v>
      </c>
      <c r="L367" s="19">
        <f>_xlfn.IFNA(HLOOKUP(F367,'MDR Rates'!$C$1:$F$2,2,FALSE),"N/A")</f>
        <v>0</v>
      </c>
      <c r="M367" s="20">
        <f t="shared" si="15"/>
        <v>46043</v>
      </c>
      <c r="N367" s="17">
        <f t="shared" si="17"/>
        <v>398</v>
      </c>
      <c r="O367" s="17">
        <f>GETPIVOTDATA("amount_inr",'Pivot Table'!$A$3,"merchant_name",I367,"Date",M367)</f>
        <v>398</v>
      </c>
      <c r="P367" s="17" t="str">
        <f t="shared" si="16"/>
        <v>Standard</v>
      </c>
    </row>
    <row r="368" spans="1:16">
      <c r="A368" s="17" t="s">
        <v>381</v>
      </c>
      <c r="B368" s="17">
        <v>57</v>
      </c>
      <c r="C368" s="17">
        <v>13</v>
      </c>
      <c r="D368" s="18">
        <v>46030.0666666667</v>
      </c>
      <c r="E368" s="17">
        <v>149</v>
      </c>
      <c r="F368" s="17" t="s">
        <v>12</v>
      </c>
      <c r="G368" s="17" t="s">
        <v>10</v>
      </c>
      <c r="H368" s="17">
        <v>2</v>
      </c>
      <c r="I368" s="17" t="str">
        <f>IFERROR(VLOOKUP(C368,Merchants!$A$2:$D$41,2,FALSE),"Merchant not found")</f>
        <v>Merchant_013</v>
      </c>
      <c r="J368" s="17" t="str">
        <f>IFERROR(VLOOKUP(C368,Merchants!$A$2:$D$41,3,FALSE),"Merchant not found")</f>
        <v>travel</v>
      </c>
      <c r="K368" s="17" t="str">
        <f>IFERROR(VLOOKUP(C368,Merchants!$A$2:$D$41,4,FALSE),"Merchant not found")</f>
        <v>East</v>
      </c>
      <c r="L368" s="19">
        <f>_xlfn.IFNA(HLOOKUP(F368,'MDR Rates'!$C$1:$F$2,2,FALSE),"N/A")</f>
        <v>0</v>
      </c>
      <c r="M368" s="20">
        <f t="shared" si="15"/>
        <v>46030</v>
      </c>
      <c r="N368" s="17">
        <f t="shared" si="17"/>
        <v>149</v>
      </c>
      <c r="O368" s="17">
        <f>GETPIVOTDATA("amount_inr",'Pivot Table'!$A$3,"merchant_name",I368,"Date",M368)</f>
        <v>149</v>
      </c>
      <c r="P368" s="17" t="str">
        <f t="shared" si="16"/>
        <v>Standard</v>
      </c>
    </row>
    <row r="369" spans="1:16">
      <c r="A369" s="17" t="s">
        <v>382</v>
      </c>
      <c r="B369" s="17">
        <v>78</v>
      </c>
      <c r="C369" s="17">
        <v>27</v>
      </c>
      <c r="D369" s="18">
        <v>46037.4347222222</v>
      </c>
      <c r="E369" s="17">
        <v>1499</v>
      </c>
      <c r="F369" s="17" t="s">
        <v>15</v>
      </c>
      <c r="G369" s="17" t="s">
        <v>25</v>
      </c>
      <c r="H369" s="17">
        <v>88</v>
      </c>
      <c r="I369" s="17" t="str">
        <f>IFERROR(VLOOKUP(C369,Merchants!$A$2:$D$41,2,FALSE),"Merchant not found")</f>
        <v>Merchant_027</v>
      </c>
      <c r="J369" s="17" t="str">
        <f>IFERROR(VLOOKUP(C369,Merchants!$A$2:$D$41,3,FALSE),"Merchant not found")</f>
        <v>ecommerce</v>
      </c>
      <c r="K369" s="17" t="str">
        <f>IFERROR(VLOOKUP(C369,Merchants!$A$2:$D$41,4,FALSE),"Merchant not found")</f>
        <v>North</v>
      </c>
      <c r="L369" s="19">
        <f>_xlfn.IFNA(HLOOKUP(F369,'MDR Rates'!$C$1:$F$2,2,FALSE),"N/A")</f>
        <v>0.015</v>
      </c>
      <c r="M369" s="20">
        <f t="shared" si="15"/>
        <v>46037</v>
      </c>
      <c r="N369" s="17">
        <f t="shared" si="17"/>
        <v>1499</v>
      </c>
      <c r="O369" s="17">
        <f>GETPIVOTDATA("amount_inr",'Pivot Table'!$A$3,"merchant_name",I369,"Date",M369)</f>
        <v>1499</v>
      </c>
      <c r="P369" s="17" t="str">
        <f t="shared" si="16"/>
        <v>Standard</v>
      </c>
    </row>
    <row r="370" spans="1:16">
      <c r="A370" s="17" t="s">
        <v>383</v>
      </c>
      <c r="B370" s="17">
        <v>314</v>
      </c>
      <c r="C370" s="17">
        <v>31</v>
      </c>
      <c r="D370" s="18">
        <v>46029.5638888889</v>
      </c>
      <c r="E370" s="17">
        <v>49</v>
      </c>
      <c r="F370" s="17" t="s">
        <v>12</v>
      </c>
      <c r="G370" s="17" t="s">
        <v>38</v>
      </c>
      <c r="H370" s="17">
        <v>94</v>
      </c>
      <c r="I370" s="17" t="str">
        <f>IFERROR(VLOOKUP(C370,Merchants!$A$2:$D$41,2,FALSE),"Merchant not found")</f>
        <v>Merchant_031</v>
      </c>
      <c r="J370" s="17" t="str">
        <f>IFERROR(VLOOKUP(C370,Merchants!$A$2:$D$41,3,FALSE),"Merchant not found")</f>
        <v>bill_payment</v>
      </c>
      <c r="K370" s="17" t="str">
        <f>IFERROR(VLOOKUP(C370,Merchants!$A$2:$D$41,4,FALSE),"Merchant not found")</f>
        <v>East</v>
      </c>
      <c r="L370" s="19">
        <f>_xlfn.IFNA(HLOOKUP(F370,'MDR Rates'!$C$1:$F$2,2,FALSE),"N/A")</f>
        <v>0</v>
      </c>
      <c r="M370" s="20">
        <f t="shared" si="15"/>
        <v>46029</v>
      </c>
      <c r="N370" s="17">
        <f t="shared" si="17"/>
        <v>49</v>
      </c>
      <c r="O370" s="17">
        <f>GETPIVOTDATA("amount_inr",'Pivot Table'!$A$3,"merchant_name",I370,"Date",M370)</f>
        <v>49</v>
      </c>
      <c r="P370" s="17" t="str">
        <f t="shared" si="16"/>
        <v>Standard</v>
      </c>
    </row>
    <row r="371" spans="1:16">
      <c r="A371" s="17" t="s">
        <v>384</v>
      </c>
      <c r="B371" s="17">
        <v>71</v>
      </c>
      <c r="C371" s="17">
        <v>34</v>
      </c>
      <c r="D371" s="18">
        <v>46046.0729166667</v>
      </c>
      <c r="E371" s="17">
        <v>499</v>
      </c>
      <c r="F371" s="17" t="s">
        <v>12</v>
      </c>
      <c r="G371" s="17" t="s">
        <v>10</v>
      </c>
      <c r="H371" s="17">
        <v>26</v>
      </c>
      <c r="I371" s="17" t="str">
        <f>IFERROR(VLOOKUP(C371,Merchants!$A$2:$D$41,2,FALSE),"Merchant not found")</f>
        <v>Merchant_034</v>
      </c>
      <c r="J371" s="17" t="str">
        <f>IFERROR(VLOOKUP(C371,Merchants!$A$2:$D$41,3,FALSE),"Merchant not found")</f>
        <v>travel</v>
      </c>
      <c r="K371" s="17" t="str">
        <f>IFERROR(VLOOKUP(C371,Merchants!$A$2:$D$41,4,FALSE),"Merchant not found")</f>
        <v>South</v>
      </c>
      <c r="L371" s="19">
        <f>_xlfn.IFNA(HLOOKUP(F371,'MDR Rates'!$C$1:$F$2,2,FALSE),"N/A")</f>
        <v>0</v>
      </c>
      <c r="M371" s="20">
        <f t="shared" si="15"/>
        <v>46046</v>
      </c>
      <c r="N371" s="17">
        <f t="shared" si="17"/>
        <v>548</v>
      </c>
      <c r="O371" s="17">
        <f>GETPIVOTDATA("amount_inr",'Pivot Table'!$A$3,"merchant_name",I371,"Date",M371)</f>
        <v>548</v>
      </c>
      <c r="P371" s="17" t="str">
        <f t="shared" si="16"/>
        <v>Standard</v>
      </c>
    </row>
    <row r="372" spans="1:16">
      <c r="A372" s="17" t="s">
        <v>385</v>
      </c>
      <c r="B372" s="17">
        <v>245</v>
      </c>
      <c r="C372" s="17">
        <v>34</v>
      </c>
      <c r="D372" s="18">
        <v>46040.4458333333</v>
      </c>
      <c r="E372" s="17">
        <v>99</v>
      </c>
      <c r="F372" s="17" t="s">
        <v>12</v>
      </c>
      <c r="G372" s="17" t="s">
        <v>10</v>
      </c>
      <c r="H372" s="17">
        <v>48</v>
      </c>
      <c r="I372" s="17" t="str">
        <f>IFERROR(VLOOKUP(C372,Merchants!$A$2:$D$41,2,FALSE),"Merchant not found")</f>
        <v>Merchant_034</v>
      </c>
      <c r="J372" s="17" t="str">
        <f>IFERROR(VLOOKUP(C372,Merchants!$A$2:$D$41,3,FALSE),"Merchant not found")</f>
        <v>travel</v>
      </c>
      <c r="K372" s="17" t="str">
        <f>IFERROR(VLOOKUP(C372,Merchants!$A$2:$D$41,4,FALSE),"Merchant not found")</f>
        <v>South</v>
      </c>
      <c r="L372" s="19">
        <f>_xlfn.IFNA(HLOOKUP(F372,'MDR Rates'!$C$1:$F$2,2,FALSE),"N/A")</f>
        <v>0</v>
      </c>
      <c r="M372" s="20">
        <f t="shared" si="15"/>
        <v>46040</v>
      </c>
      <c r="N372" s="17">
        <f t="shared" si="17"/>
        <v>148</v>
      </c>
      <c r="O372" s="17">
        <f>GETPIVOTDATA("amount_inr",'Pivot Table'!$A$3,"merchant_name",I372,"Date",M372)</f>
        <v>148</v>
      </c>
      <c r="P372" s="17" t="str">
        <f t="shared" si="16"/>
        <v>Standard</v>
      </c>
    </row>
    <row r="373" spans="1:16">
      <c r="A373" s="17" t="s">
        <v>386</v>
      </c>
      <c r="B373" s="17">
        <v>273</v>
      </c>
      <c r="C373" s="17">
        <v>22</v>
      </c>
      <c r="D373" s="18">
        <v>46033.2284722222</v>
      </c>
      <c r="E373" s="17">
        <v>299</v>
      </c>
      <c r="F373" s="17" t="s">
        <v>9</v>
      </c>
      <c r="G373" s="17" t="s">
        <v>10</v>
      </c>
      <c r="H373" s="17">
        <v>69</v>
      </c>
      <c r="I373" s="17" t="str">
        <f>IFERROR(VLOOKUP(C373,Merchants!$A$2:$D$41,2,FALSE),"Merchant not found")</f>
        <v>Merchant_022</v>
      </c>
      <c r="J373" s="17" t="str">
        <f>IFERROR(VLOOKUP(C373,Merchants!$A$2:$D$41,3,FALSE),"Merchant not found")</f>
        <v>travel</v>
      </c>
      <c r="K373" s="17" t="str">
        <f>IFERROR(VLOOKUP(C373,Merchants!$A$2:$D$41,4,FALSE),"Merchant not found")</f>
        <v>South</v>
      </c>
      <c r="L373" s="19">
        <f>_xlfn.IFNA(HLOOKUP(F373,'MDR Rates'!$C$1:$F$2,2,FALSE),"N/A")</f>
        <v>0.01</v>
      </c>
      <c r="M373" s="20">
        <f t="shared" si="15"/>
        <v>46033</v>
      </c>
      <c r="N373" s="17">
        <f t="shared" si="17"/>
        <v>299</v>
      </c>
      <c r="O373" s="17">
        <f>GETPIVOTDATA("amount_inr",'Pivot Table'!$A$3,"merchant_name",I373,"Date",M373)</f>
        <v>299</v>
      </c>
      <c r="P373" s="17" t="str">
        <f t="shared" si="16"/>
        <v>Standard</v>
      </c>
    </row>
    <row r="374" spans="1:16">
      <c r="A374" s="17" t="s">
        <v>387</v>
      </c>
      <c r="B374" s="17">
        <v>349</v>
      </c>
      <c r="C374" s="17">
        <v>17</v>
      </c>
      <c r="D374" s="18">
        <v>46034.9090277778</v>
      </c>
      <c r="E374" s="17">
        <v>1499</v>
      </c>
      <c r="F374" s="17" t="s">
        <v>12</v>
      </c>
      <c r="G374" s="17" t="s">
        <v>10</v>
      </c>
      <c r="H374" s="17">
        <v>78</v>
      </c>
      <c r="I374" s="17" t="str">
        <f>IFERROR(VLOOKUP(C374,Merchants!$A$2:$D$41,2,FALSE),"Merchant not found")</f>
        <v>Merchant_017</v>
      </c>
      <c r="J374" s="17" t="str">
        <f>IFERROR(VLOOKUP(C374,Merchants!$A$2:$D$41,3,FALSE),"Merchant not found")</f>
        <v>grocery</v>
      </c>
      <c r="K374" s="17" t="str">
        <f>IFERROR(VLOOKUP(C374,Merchants!$A$2:$D$41,4,FALSE),"Merchant not found")</f>
        <v>North</v>
      </c>
      <c r="L374" s="19">
        <f>_xlfn.IFNA(HLOOKUP(F374,'MDR Rates'!$C$1:$F$2,2,FALSE),"N/A")</f>
        <v>0</v>
      </c>
      <c r="M374" s="20">
        <f t="shared" si="15"/>
        <v>46034</v>
      </c>
      <c r="N374" s="17">
        <f t="shared" si="17"/>
        <v>1499</v>
      </c>
      <c r="O374" s="17">
        <f>GETPIVOTDATA("amount_inr",'Pivot Table'!$A$3,"merchant_name",I374,"Date",M374)</f>
        <v>1499</v>
      </c>
      <c r="P374" s="17" t="str">
        <f t="shared" si="16"/>
        <v>Standard</v>
      </c>
    </row>
    <row r="375" spans="1:16">
      <c r="A375" s="17" t="s">
        <v>388</v>
      </c>
      <c r="B375" s="17">
        <v>143</v>
      </c>
      <c r="C375" s="17">
        <v>36</v>
      </c>
      <c r="D375" s="18">
        <v>46038.2604166667</v>
      </c>
      <c r="E375" s="17">
        <v>1499</v>
      </c>
      <c r="F375" s="17" t="s">
        <v>15</v>
      </c>
      <c r="G375" s="17" t="s">
        <v>10</v>
      </c>
      <c r="H375" s="17">
        <v>38</v>
      </c>
      <c r="I375" s="17" t="str">
        <f>IFERROR(VLOOKUP(C375,Merchants!$A$2:$D$41,2,FALSE),"Merchant not found")</f>
        <v>Merchant_036</v>
      </c>
      <c r="J375" s="17" t="str">
        <f>IFERROR(VLOOKUP(C375,Merchants!$A$2:$D$41,3,FALSE),"Merchant not found")</f>
        <v>entertainment</v>
      </c>
      <c r="K375" s="17" t="str">
        <f>IFERROR(VLOOKUP(C375,Merchants!$A$2:$D$41,4,FALSE),"Merchant not found")</f>
        <v>East</v>
      </c>
      <c r="L375" s="19">
        <f>_xlfn.IFNA(HLOOKUP(F375,'MDR Rates'!$C$1:$F$2,2,FALSE),"N/A")</f>
        <v>0.015</v>
      </c>
      <c r="M375" s="20">
        <f t="shared" si="15"/>
        <v>46038</v>
      </c>
      <c r="N375" s="17">
        <f t="shared" si="17"/>
        <v>1499</v>
      </c>
      <c r="O375" s="17">
        <f>GETPIVOTDATA("amount_inr",'Pivot Table'!$A$3,"merchant_name",I375,"Date",M375)</f>
        <v>1499</v>
      </c>
      <c r="P375" s="17" t="str">
        <f t="shared" si="16"/>
        <v>Standard</v>
      </c>
    </row>
    <row r="376" spans="1:16">
      <c r="A376" s="17" t="s">
        <v>389</v>
      </c>
      <c r="B376" s="17">
        <v>148</v>
      </c>
      <c r="C376" s="17">
        <v>14</v>
      </c>
      <c r="D376" s="18">
        <v>46030.4090277778</v>
      </c>
      <c r="E376" s="17">
        <v>799</v>
      </c>
      <c r="F376" s="17" t="s">
        <v>9</v>
      </c>
      <c r="G376" s="17" t="s">
        <v>10</v>
      </c>
      <c r="H376" s="17">
        <v>88</v>
      </c>
      <c r="I376" s="17" t="str">
        <f>IFERROR(VLOOKUP(C376,Merchants!$A$2:$D$41,2,FALSE),"Merchant not found")</f>
        <v>Merchant_014</v>
      </c>
      <c r="J376" s="17" t="str">
        <f>IFERROR(VLOOKUP(C376,Merchants!$A$2:$D$41,3,FALSE),"Merchant not found")</f>
        <v>grocery</v>
      </c>
      <c r="K376" s="17" t="str">
        <f>IFERROR(VLOOKUP(C376,Merchants!$A$2:$D$41,4,FALSE),"Merchant not found")</f>
        <v>East</v>
      </c>
      <c r="L376" s="19">
        <f>_xlfn.IFNA(HLOOKUP(F376,'MDR Rates'!$C$1:$F$2,2,FALSE),"N/A")</f>
        <v>0.01</v>
      </c>
      <c r="M376" s="20">
        <f t="shared" si="15"/>
        <v>46030</v>
      </c>
      <c r="N376" s="17">
        <f t="shared" si="17"/>
        <v>799</v>
      </c>
      <c r="O376" s="17">
        <f>GETPIVOTDATA("amount_inr",'Pivot Table'!$A$3,"merchant_name",I376,"Date",M376)</f>
        <v>799</v>
      </c>
      <c r="P376" s="17" t="str">
        <f t="shared" si="16"/>
        <v>Standard</v>
      </c>
    </row>
    <row r="377" spans="1:16">
      <c r="A377" s="17" t="s">
        <v>390</v>
      </c>
      <c r="B377" s="17">
        <v>246</v>
      </c>
      <c r="C377" s="17">
        <v>23</v>
      </c>
      <c r="D377" s="18">
        <v>46045.6388888889</v>
      </c>
      <c r="E377" s="17">
        <v>49</v>
      </c>
      <c r="F377" s="17" t="s">
        <v>12</v>
      </c>
      <c r="G377" s="17" t="s">
        <v>10</v>
      </c>
      <c r="H377" s="17">
        <v>71</v>
      </c>
      <c r="I377" s="17" t="str">
        <f>IFERROR(VLOOKUP(C377,Merchants!$A$2:$D$41,2,FALSE),"Merchant not found")</f>
        <v>Merchant_023</v>
      </c>
      <c r="J377" s="17" t="str">
        <f>IFERROR(VLOOKUP(C377,Merchants!$A$2:$D$41,3,FALSE),"Merchant not found")</f>
        <v>travel</v>
      </c>
      <c r="K377" s="17" t="str">
        <f>IFERROR(VLOOKUP(C377,Merchants!$A$2:$D$41,4,FALSE),"Merchant not found")</f>
        <v>North</v>
      </c>
      <c r="L377" s="19">
        <f>_xlfn.IFNA(HLOOKUP(F377,'MDR Rates'!$C$1:$F$2,2,FALSE),"N/A")</f>
        <v>0</v>
      </c>
      <c r="M377" s="20">
        <f t="shared" si="15"/>
        <v>46045</v>
      </c>
      <c r="N377" s="17">
        <f t="shared" si="17"/>
        <v>247</v>
      </c>
      <c r="O377" s="17">
        <f>GETPIVOTDATA("amount_inr",'Pivot Table'!$A$3,"merchant_name",I377,"Date",M377)</f>
        <v>247</v>
      </c>
      <c r="P377" s="17" t="str">
        <f t="shared" si="16"/>
        <v>Standard</v>
      </c>
    </row>
    <row r="378" spans="1:16">
      <c r="A378" s="17" t="s">
        <v>391</v>
      </c>
      <c r="B378" s="17">
        <v>148</v>
      </c>
      <c r="C378" s="17">
        <v>8</v>
      </c>
      <c r="D378" s="18">
        <v>46052.9701388889</v>
      </c>
      <c r="E378" s="17">
        <v>99</v>
      </c>
      <c r="F378" s="17" t="s">
        <v>9</v>
      </c>
      <c r="G378" s="17" t="s">
        <v>10</v>
      </c>
      <c r="H378" s="17">
        <v>73</v>
      </c>
      <c r="I378" s="17" t="str">
        <f>IFERROR(VLOOKUP(C378,Merchants!$A$2:$D$41,2,FALSE),"Merchant not found")</f>
        <v>Merchant_008</v>
      </c>
      <c r="J378" s="17" t="str">
        <f>IFERROR(VLOOKUP(C378,Merchants!$A$2:$D$41,3,FALSE),"Merchant not found")</f>
        <v>food_delivery</v>
      </c>
      <c r="K378" s="17" t="str">
        <f>IFERROR(VLOOKUP(C378,Merchants!$A$2:$D$41,4,FALSE),"Merchant not found")</f>
        <v>North</v>
      </c>
      <c r="L378" s="19">
        <f>_xlfn.IFNA(HLOOKUP(F378,'MDR Rates'!$C$1:$F$2,2,FALSE),"N/A")</f>
        <v>0.01</v>
      </c>
      <c r="M378" s="20">
        <f t="shared" si="15"/>
        <v>46052</v>
      </c>
      <c r="N378" s="17">
        <f t="shared" si="17"/>
        <v>99</v>
      </c>
      <c r="O378" s="17">
        <f>GETPIVOTDATA("amount_inr",'Pivot Table'!$A$3,"merchant_name",I378,"Date",M378)</f>
        <v>99</v>
      </c>
      <c r="P378" s="17" t="str">
        <f t="shared" si="16"/>
        <v>Standard</v>
      </c>
    </row>
    <row r="379" spans="1:16">
      <c r="A379" s="17" t="s">
        <v>392</v>
      </c>
      <c r="B379" s="17">
        <v>203</v>
      </c>
      <c r="C379" s="17">
        <v>23</v>
      </c>
      <c r="D379" s="18">
        <v>46044.725</v>
      </c>
      <c r="E379" s="17">
        <v>49</v>
      </c>
      <c r="F379" s="17" t="s">
        <v>12</v>
      </c>
      <c r="G379" s="17" t="s">
        <v>10</v>
      </c>
      <c r="H379" s="17">
        <v>98</v>
      </c>
      <c r="I379" s="17" t="str">
        <f>IFERROR(VLOOKUP(C379,Merchants!$A$2:$D$41,2,FALSE),"Merchant not found")</f>
        <v>Merchant_023</v>
      </c>
      <c r="J379" s="17" t="str">
        <f>IFERROR(VLOOKUP(C379,Merchants!$A$2:$D$41,3,FALSE),"Merchant not found")</f>
        <v>travel</v>
      </c>
      <c r="K379" s="17" t="str">
        <f>IFERROR(VLOOKUP(C379,Merchants!$A$2:$D$41,4,FALSE),"Merchant not found")</f>
        <v>North</v>
      </c>
      <c r="L379" s="19">
        <f>_xlfn.IFNA(HLOOKUP(F379,'MDR Rates'!$C$1:$F$2,2,FALSE),"N/A")</f>
        <v>0</v>
      </c>
      <c r="M379" s="20">
        <f t="shared" si="15"/>
        <v>46044</v>
      </c>
      <c r="N379" s="17">
        <f t="shared" si="17"/>
        <v>49</v>
      </c>
      <c r="O379" s="17">
        <f>GETPIVOTDATA("amount_inr",'Pivot Table'!$A$3,"merchant_name",I379,"Date",M379)</f>
        <v>49</v>
      </c>
      <c r="P379" s="17" t="str">
        <f t="shared" si="16"/>
        <v>Standard</v>
      </c>
    </row>
    <row r="380" spans="1:16">
      <c r="A380" s="17" t="s">
        <v>393</v>
      </c>
      <c r="B380" s="17">
        <v>22</v>
      </c>
      <c r="C380" s="17">
        <v>19</v>
      </c>
      <c r="D380" s="18">
        <v>46048.1791666667</v>
      </c>
      <c r="E380" s="17">
        <v>49</v>
      </c>
      <c r="F380" s="17" t="s">
        <v>24</v>
      </c>
      <c r="G380" s="17" t="s">
        <v>10</v>
      </c>
      <c r="H380" s="17">
        <v>91</v>
      </c>
      <c r="I380" s="17" t="str">
        <f>IFERROR(VLOOKUP(C380,Merchants!$A$2:$D$41,2,FALSE),"Merchant not found")</f>
        <v>Merchant_019</v>
      </c>
      <c r="J380" s="17" t="str">
        <f>IFERROR(VLOOKUP(C380,Merchants!$A$2:$D$41,3,FALSE),"Merchant not found")</f>
        <v>grocery</v>
      </c>
      <c r="K380" s="17" t="str">
        <f>IFERROR(VLOOKUP(C380,Merchants!$A$2:$D$41,4,FALSE),"Merchant not found")</f>
        <v>North</v>
      </c>
      <c r="L380" s="19">
        <f>_xlfn.IFNA(HLOOKUP(F380,'MDR Rates'!$C$1:$F$2,2,FALSE),"N/A")</f>
        <v>0.02</v>
      </c>
      <c r="M380" s="20">
        <f t="shared" si="15"/>
        <v>46048</v>
      </c>
      <c r="N380" s="17">
        <f t="shared" si="17"/>
        <v>49</v>
      </c>
      <c r="O380" s="17">
        <f>GETPIVOTDATA("amount_inr",'Pivot Table'!$A$3,"merchant_name",I380,"Date",M380)</f>
        <v>49</v>
      </c>
      <c r="P380" s="17" t="str">
        <f t="shared" si="16"/>
        <v>Standard</v>
      </c>
    </row>
    <row r="381" spans="1:16">
      <c r="A381" s="17" t="s">
        <v>394</v>
      </c>
      <c r="B381" s="17">
        <v>227</v>
      </c>
      <c r="C381" s="17">
        <v>17</v>
      </c>
      <c r="D381" s="18">
        <v>46025.4993055556</v>
      </c>
      <c r="E381" s="17">
        <v>299</v>
      </c>
      <c r="F381" s="17" t="s">
        <v>9</v>
      </c>
      <c r="G381" s="17" t="s">
        <v>10</v>
      </c>
      <c r="H381" s="17">
        <v>95</v>
      </c>
      <c r="I381" s="17" t="str">
        <f>IFERROR(VLOOKUP(C381,Merchants!$A$2:$D$41,2,FALSE),"Merchant not found")</f>
        <v>Merchant_017</v>
      </c>
      <c r="J381" s="17" t="str">
        <f>IFERROR(VLOOKUP(C381,Merchants!$A$2:$D$41,3,FALSE),"Merchant not found")</f>
        <v>grocery</v>
      </c>
      <c r="K381" s="17" t="str">
        <f>IFERROR(VLOOKUP(C381,Merchants!$A$2:$D$41,4,FALSE),"Merchant not found")</f>
        <v>North</v>
      </c>
      <c r="L381" s="19">
        <f>_xlfn.IFNA(HLOOKUP(F381,'MDR Rates'!$C$1:$F$2,2,FALSE),"N/A")</f>
        <v>0.01</v>
      </c>
      <c r="M381" s="20">
        <f t="shared" si="15"/>
        <v>46025</v>
      </c>
      <c r="N381" s="17">
        <f t="shared" si="17"/>
        <v>398</v>
      </c>
      <c r="O381" s="17">
        <f>GETPIVOTDATA("amount_inr",'Pivot Table'!$A$3,"merchant_name",I381,"Date",M381)</f>
        <v>398</v>
      </c>
      <c r="P381" s="17" t="str">
        <f t="shared" si="16"/>
        <v>Standard</v>
      </c>
    </row>
    <row r="382" spans="1:16">
      <c r="A382" s="17" t="s">
        <v>395</v>
      </c>
      <c r="B382" s="17">
        <v>276</v>
      </c>
      <c r="C382" s="17">
        <v>18</v>
      </c>
      <c r="D382" s="18">
        <v>46038.2583333333</v>
      </c>
      <c r="E382" s="17">
        <v>149</v>
      </c>
      <c r="F382" s="17" t="s">
        <v>9</v>
      </c>
      <c r="G382" s="17" t="s">
        <v>10</v>
      </c>
      <c r="H382" s="17">
        <v>71</v>
      </c>
      <c r="I382" s="17" t="str">
        <f>IFERROR(VLOOKUP(C382,Merchants!$A$2:$D$41,2,FALSE),"Merchant not found")</f>
        <v>Merchant_018</v>
      </c>
      <c r="J382" s="17" t="str">
        <f>IFERROR(VLOOKUP(C382,Merchants!$A$2:$D$41,3,FALSE),"Merchant not found")</f>
        <v>grocery</v>
      </c>
      <c r="K382" s="17" t="str">
        <f>IFERROR(VLOOKUP(C382,Merchants!$A$2:$D$41,4,FALSE),"Merchant not found")</f>
        <v>West</v>
      </c>
      <c r="L382" s="19">
        <f>_xlfn.IFNA(HLOOKUP(F382,'MDR Rates'!$C$1:$F$2,2,FALSE),"N/A")</f>
        <v>0.01</v>
      </c>
      <c r="M382" s="20">
        <f t="shared" si="15"/>
        <v>46038</v>
      </c>
      <c r="N382" s="17">
        <f t="shared" si="17"/>
        <v>3148</v>
      </c>
      <c r="O382" s="17">
        <f>GETPIVOTDATA("amount_inr",'Pivot Table'!$A$3,"merchant_name",I382,"Date",M382)</f>
        <v>3148</v>
      </c>
      <c r="P382" s="17" t="str">
        <f t="shared" si="16"/>
        <v>Standard</v>
      </c>
    </row>
    <row r="383" spans="1:16">
      <c r="A383" s="17" t="s">
        <v>396</v>
      </c>
      <c r="B383" s="17">
        <v>56</v>
      </c>
      <c r="C383" s="17">
        <v>40</v>
      </c>
      <c r="D383" s="18">
        <v>46045.3388888889</v>
      </c>
      <c r="E383" s="17">
        <v>99</v>
      </c>
      <c r="F383" s="17" t="s">
        <v>24</v>
      </c>
      <c r="G383" s="17" t="s">
        <v>10</v>
      </c>
      <c r="H383" s="17">
        <v>94</v>
      </c>
      <c r="I383" s="17" t="str">
        <f>IFERROR(VLOOKUP(C383,Merchants!$A$2:$D$41,2,FALSE),"Merchant not found")</f>
        <v>Merchant_040</v>
      </c>
      <c r="J383" s="17" t="str">
        <f>IFERROR(VLOOKUP(C383,Merchants!$A$2:$D$41,3,FALSE),"Merchant not found")</f>
        <v>entertainment</v>
      </c>
      <c r="K383" s="17" t="str">
        <f>IFERROR(VLOOKUP(C383,Merchants!$A$2:$D$41,4,FALSE),"Merchant not found")</f>
        <v>South</v>
      </c>
      <c r="L383" s="19">
        <f>_xlfn.IFNA(HLOOKUP(F383,'MDR Rates'!$C$1:$F$2,2,FALSE),"N/A")</f>
        <v>0.02</v>
      </c>
      <c r="M383" s="20">
        <f t="shared" si="15"/>
        <v>46045</v>
      </c>
      <c r="N383" s="17">
        <f t="shared" si="17"/>
        <v>598</v>
      </c>
      <c r="O383" s="17">
        <f>GETPIVOTDATA("amount_inr",'Pivot Table'!$A$3,"merchant_name",I383,"Date",M383)</f>
        <v>598</v>
      </c>
      <c r="P383" s="17" t="str">
        <f t="shared" si="16"/>
        <v>Standard</v>
      </c>
    </row>
    <row r="384" spans="1:16">
      <c r="A384" s="17" t="s">
        <v>397</v>
      </c>
      <c r="B384" s="17">
        <v>26</v>
      </c>
      <c r="C384" s="17">
        <v>34</v>
      </c>
      <c r="D384" s="18">
        <v>46041.3020833333</v>
      </c>
      <c r="E384" s="17">
        <v>499</v>
      </c>
      <c r="F384" s="17" t="s">
        <v>24</v>
      </c>
      <c r="G384" s="17" t="s">
        <v>10</v>
      </c>
      <c r="H384" s="17">
        <v>28</v>
      </c>
      <c r="I384" s="17" t="str">
        <f>IFERROR(VLOOKUP(C384,Merchants!$A$2:$D$41,2,FALSE),"Merchant not found")</f>
        <v>Merchant_034</v>
      </c>
      <c r="J384" s="17" t="str">
        <f>IFERROR(VLOOKUP(C384,Merchants!$A$2:$D$41,3,FALSE),"Merchant not found")</f>
        <v>travel</v>
      </c>
      <c r="K384" s="17" t="str">
        <f>IFERROR(VLOOKUP(C384,Merchants!$A$2:$D$41,4,FALSE),"Merchant not found")</f>
        <v>South</v>
      </c>
      <c r="L384" s="19">
        <f>_xlfn.IFNA(HLOOKUP(F384,'MDR Rates'!$C$1:$F$2,2,FALSE),"N/A")</f>
        <v>0.02</v>
      </c>
      <c r="M384" s="20">
        <f t="shared" si="15"/>
        <v>46041</v>
      </c>
      <c r="N384" s="17">
        <f t="shared" si="17"/>
        <v>499</v>
      </c>
      <c r="O384" s="17">
        <f>GETPIVOTDATA("amount_inr",'Pivot Table'!$A$3,"merchant_name",I384,"Date",M384)</f>
        <v>499</v>
      </c>
      <c r="P384" s="17" t="str">
        <f t="shared" si="16"/>
        <v>Standard</v>
      </c>
    </row>
    <row r="385" spans="1:16">
      <c r="A385" s="17" t="s">
        <v>398</v>
      </c>
      <c r="B385" s="17">
        <v>52</v>
      </c>
      <c r="C385" s="17">
        <v>27</v>
      </c>
      <c r="D385" s="18">
        <v>46043.29375</v>
      </c>
      <c r="E385" s="17">
        <v>499</v>
      </c>
      <c r="F385" s="17" t="s">
        <v>24</v>
      </c>
      <c r="G385" s="17" t="s">
        <v>10</v>
      </c>
      <c r="H385" s="17">
        <v>42</v>
      </c>
      <c r="I385" s="17" t="str">
        <f>IFERROR(VLOOKUP(C385,Merchants!$A$2:$D$41,2,FALSE),"Merchant not found")</f>
        <v>Merchant_027</v>
      </c>
      <c r="J385" s="17" t="str">
        <f>IFERROR(VLOOKUP(C385,Merchants!$A$2:$D$41,3,FALSE),"Merchant not found")</f>
        <v>ecommerce</v>
      </c>
      <c r="K385" s="17" t="str">
        <f>IFERROR(VLOOKUP(C385,Merchants!$A$2:$D$41,4,FALSE),"Merchant not found")</f>
        <v>North</v>
      </c>
      <c r="L385" s="19">
        <f>_xlfn.IFNA(HLOOKUP(F385,'MDR Rates'!$C$1:$F$2,2,FALSE),"N/A")</f>
        <v>0.02</v>
      </c>
      <c r="M385" s="20">
        <f t="shared" si="15"/>
        <v>46043</v>
      </c>
      <c r="N385" s="17">
        <f t="shared" si="17"/>
        <v>499</v>
      </c>
      <c r="O385" s="17">
        <f>GETPIVOTDATA("amount_inr",'Pivot Table'!$A$3,"merchant_name",I385,"Date",M385)</f>
        <v>499</v>
      </c>
      <c r="P385" s="17" t="str">
        <f t="shared" si="16"/>
        <v>Standard</v>
      </c>
    </row>
    <row r="386" spans="1:16">
      <c r="A386" s="17" t="s">
        <v>399</v>
      </c>
      <c r="B386" s="17">
        <v>349</v>
      </c>
      <c r="C386" s="17">
        <v>9</v>
      </c>
      <c r="D386" s="18">
        <v>46045.6291666667</v>
      </c>
      <c r="E386" s="17">
        <v>499</v>
      </c>
      <c r="F386" s="17" t="s">
        <v>9</v>
      </c>
      <c r="G386" s="17" t="s">
        <v>10</v>
      </c>
      <c r="H386" s="17">
        <v>0</v>
      </c>
      <c r="I386" s="17" t="str">
        <f>IFERROR(VLOOKUP(C386,Merchants!$A$2:$D$41,2,FALSE),"Merchant not found")</f>
        <v>Merchant_009</v>
      </c>
      <c r="J386" s="17" t="str">
        <f>IFERROR(VLOOKUP(C386,Merchants!$A$2:$D$41,3,FALSE),"Merchant not found")</f>
        <v>ecommerce</v>
      </c>
      <c r="K386" s="17" t="str">
        <f>IFERROR(VLOOKUP(C386,Merchants!$A$2:$D$41,4,FALSE),"Merchant not found")</f>
        <v>North</v>
      </c>
      <c r="L386" s="19">
        <f>_xlfn.IFNA(HLOOKUP(F386,'MDR Rates'!$C$1:$F$2,2,FALSE),"N/A")</f>
        <v>0.01</v>
      </c>
      <c r="M386" s="20">
        <f t="shared" si="15"/>
        <v>46045</v>
      </c>
      <c r="N386" s="17">
        <f t="shared" si="17"/>
        <v>898</v>
      </c>
      <c r="O386" s="17">
        <f>GETPIVOTDATA("amount_inr",'Pivot Table'!$A$3,"merchant_name",I386,"Date",M386)</f>
        <v>898</v>
      </c>
      <c r="P386" s="17" t="str">
        <f t="shared" si="16"/>
        <v>Standard</v>
      </c>
    </row>
    <row r="387" spans="1:16">
      <c r="A387" s="17" t="s">
        <v>400</v>
      </c>
      <c r="B387" s="17">
        <v>335</v>
      </c>
      <c r="C387" s="17">
        <v>31</v>
      </c>
      <c r="D387" s="18">
        <v>46040.2263888889</v>
      </c>
      <c r="E387" s="17">
        <v>49</v>
      </c>
      <c r="F387" s="17" t="s">
        <v>24</v>
      </c>
      <c r="G387" s="17" t="s">
        <v>10</v>
      </c>
      <c r="H387" s="17">
        <v>61</v>
      </c>
      <c r="I387" s="17" t="str">
        <f>IFERROR(VLOOKUP(C387,Merchants!$A$2:$D$41,2,FALSE),"Merchant not found")</f>
        <v>Merchant_031</v>
      </c>
      <c r="J387" s="17" t="str">
        <f>IFERROR(VLOOKUP(C387,Merchants!$A$2:$D$41,3,FALSE),"Merchant not found")</f>
        <v>bill_payment</v>
      </c>
      <c r="K387" s="17" t="str">
        <f>IFERROR(VLOOKUP(C387,Merchants!$A$2:$D$41,4,FALSE),"Merchant not found")</f>
        <v>East</v>
      </c>
      <c r="L387" s="19">
        <f>_xlfn.IFNA(HLOOKUP(F387,'MDR Rates'!$C$1:$F$2,2,FALSE),"N/A")</f>
        <v>0.02</v>
      </c>
      <c r="M387" s="20">
        <f t="shared" ref="M387:M450" si="18">INT(D387)</f>
        <v>46040</v>
      </c>
      <c r="N387" s="17">
        <f t="shared" si="17"/>
        <v>49</v>
      </c>
      <c r="O387" s="17">
        <f>GETPIVOTDATA("amount_inr",'Pivot Table'!$A$3,"merchant_name",I387,"Date",M387)</f>
        <v>49</v>
      </c>
      <c r="P387" s="17" t="str">
        <f t="shared" ref="P387:P450" si="19">IF(AND(O387&gt;5000,K387&lt;&gt;"East"),"High-Value Merchant Day","Standard")</f>
        <v>Standard</v>
      </c>
    </row>
    <row r="388" spans="1:16">
      <c r="A388" s="17" t="s">
        <v>401</v>
      </c>
      <c r="B388" s="17">
        <v>148</v>
      </c>
      <c r="C388" s="17">
        <v>21</v>
      </c>
      <c r="D388" s="18">
        <v>46043.2833333333</v>
      </c>
      <c r="E388" s="17">
        <v>49</v>
      </c>
      <c r="F388" s="17" t="s">
        <v>24</v>
      </c>
      <c r="G388" s="17" t="s">
        <v>10</v>
      </c>
      <c r="H388" s="17">
        <v>36</v>
      </c>
      <c r="I388" s="17" t="str">
        <f>IFERROR(VLOOKUP(C388,Merchants!$A$2:$D$41,2,FALSE),"Merchant not found")</f>
        <v>Merchant_021</v>
      </c>
      <c r="J388" s="17" t="str">
        <f>IFERROR(VLOOKUP(C388,Merchants!$A$2:$D$41,3,FALSE),"Merchant not found")</f>
        <v>food_delivery</v>
      </c>
      <c r="K388" s="17" t="str">
        <f>IFERROR(VLOOKUP(C388,Merchants!$A$2:$D$41,4,FALSE),"Merchant not found")</f>
        <v>East</v>
      </c>
      <c r="L388" s="19">
        <f>_xlfn.IFNA(HLOOKUP(F388,'MDR Rates'!$C$1:$F$2,2,FALSE),"N/A")</f>
        <v>0.02</v>
      </c>
      <c r="M388" s="20">
        <f t="shared" si="18"/>
        <v>46043</v>
      </c>
      <c r="N388" s="17">
        <f t="shared" si="17"/>
        <v>49</v>
      </c>
      <c r="O388" s="17">
        <f>GETPIVOTDATA("amount_inr",'Pivot Table'!$A$3,"merchant_name",I388,"Date",M388)</f>
        <v>49</v>
      </c>
      <c r="P388" s="17" t="str">
        <f t="shared" si="19"/>
        <v>Standard</v>
      </c>
    </row>
    <row r="389" spans="1:16">
      <c r="A389" s="17" t="s">
        <v>402</v>
      </c>
      <c r="B389" s="17">
        <v>46</v>
      </c>
      <c r="C389" s="17">
        <v>37</v>
      </c>
      <c r="D389" s="18">
        <v>46043.0819444444</v>
      </c>
      <c r="E389" s="17">
        <v>99</v>
      </c>
      <c r="F389" s="17" t="s">
        <v>9</v>
      </c>
      <c r="G389" s="17" t="s">
        <v>10</v>
      </c>
      <c r="H389" s="17">
        <v>29</v>
      </c>
      <c r="I389" s="17" t="str">
        <f>IFERROR(VLOOKUP(C389,Merchants!$A$2:$D$41,2,FALSE),"Merchant not found")</f>
        <v>Merchant_037</v>
      </c>
      <c r="J389" s="17" t="str">
        <f>IFERROR(VLOOKUP(C389,Merchants!$A$2:$D$41,3,FALSE),"Merchant not found")</f>
        <v>entertainment</v>
      </c>
      <c r="K389" s="17" t="str">
        <f>IFERROR(VLOOKUP(C389,Merchants!$A$2:$D$41,4,FALSE),"Merchant not found")</f>
        <v>South</v>
      </c>
      <c r="L389" s="19">
        <f>_xlfn.IFNA(HLOOKUP(F389,'MDR Rates'!$C$1:$F$2,2,FALSE),"N/A")</f>
        <v>0.01</v>
      </c>
      <c r="M389" s="20">
        <f t="shared" si="18"/>
        <v>46043</v>
      </c>
      <c r="N389" s="17">
        <f t="shared" ref="N389:N452" si="20">SUMIFS($E$2:$E$548,$C$2:$C$548,C389,$M$2:$M$548,M389)</f>
        <v>99</v>
      </c>
      <c r="O389" s="17">
        <f>GETPIVOTDATA("amount_inr",'Pivot Table'!$A$3,"merchant_name",I389,"Date",M389)</f>
        <v>99</v>
      </c>
      <c r="P389" s="17" t="str">
        <f t="shared" si="19"/>
        <v>Standard</v>
      </c>
    </row>
    <row r="390" spans="1:16">
      <c r="A390" s="17" t="s">
        <v>403</v>
      </c>
      <c r="B390" s="17">
        <v>20</v>
      </c>
      <c r="C390" s="17">
        <v>12</v>
      </c>
      <c r="D390" s="18">
        <v>46040.9902777778</v>
      </c>
      <c r="E390" s="17">
        <v>799</v>
      </c>
      <c r="F390" s="17" t="s">
        <v>24</v>
      </c>
      <c r="G390" s="17" t="s">
        <v>10</v>
      </c>
      <c r="H390" s="17">
        <v>53</v>
      </c>
      <c r="I390" s="17" t="str">
        <f>IFERROR(VLOOKUP(C390,Merchants!$A$2:$D$41,2,FALSE),"Merchant not found")</f>
        <v>Merchant_012</v>
      </c>
      <c r="J390" s="17" t="str">
        <f>IFERROR(VLOOKUP(C390,Merchants!$A$2:$D$41,3,FALSE),"Merchant not found")</f>
        <v>ecommerce</v>
      </c>
      <c r="K390" s="17" t="str">
        <f>IFERROR(VLOOKUP(C390,Merchants!$A$2:$D$41,4,FALSE),"Merchant not found")</f>
        <v>East</v>
      </c>
      <c r="L390" s="19">
        <f>_xlfn.IFNA(HLOOKUP(F390,'MDR Rates'!$C$1:$F$2,2,FALSE),"N/A")</f>
        <v>0.02</v>
      </c>
      <c r="M390" s="20">
        <f t="shared" si="18"/>
        <v>46040</v>
      </c>
      <c r="N390" s="17">
        <f t="shared" si="20"/>
        <v>799</v>
      </c>
      <c r="O390" s="17">
        <f>GETPIVOTDATA("amount_inr",'Pivot Table'!$A$3,"merchant_name",I390,"Date",M390)</f>
        <v>799</v>
      </c>
      <c r="P390" s="17" t="str">
        <f t="shared" si="19"/>
        <v>Standard</v>
      </c>
    </row>
    <row r="391" spans="1:16">
      <c r="A391" s="17" t="s">
        <v>404</v>
      </c>
      <c r="B391" s="17">
        <v>19</v>
      </c>
      <c r="C391" s="17">
        <v>26</v>
      </c>
      <c r="D391" s="18">
        <v>46051.2493055556</v>
      </c>
      <c r="E391" s="17">
        <v>49</v>
      </c>
      <c r="F391" s="17" t="s">
        <v>12</v>
      </c>
      <c r="G391" s="17" t="s">
        <v>10</v>
      </c>
      <c r="H391" s="17">
        <v>100</v>
      </c>
      <c r="I391" s="17" t="str">
        <f>IFERROR(VLOOKUP(C391,Merchants!$A$2:$D$41,2,FALSE),"Merchant not found")</f>
        <v>Merchant_026</v>
      </c>
      <c r="J391" s="17" t="str">
        <f>IFERROR(VLOOKUP(C391,Merchants!$A$2:$D$41,3,FALSE),"Merchant not found")</f>
        <v>food_delivery</v>
      </c>
      <c r="K391" s="17" t="str">
        <f>IFERROR(VLOOKUP(C391,Merchants!$A$2:$D$41,4,FALSE),"Merchant not found")</f>
        <v>East</v>
      </c>
      <c r="L391" s="19">
        <f>_xlfn.IFNA(HLOOKUP(F391,'MDR Rates'!$C$1:$F$2,2,FALSE),"N/A")</f>
        <v>0</v>
      </c>
      <c r="M391" s="20">
        <f t="shared" si="18"/>
        <v>46051</v>
      </c>
      <c r="N391" s="17">
        <f t="shared" si="20"/>
        <v>148</v>
      </c>
      <c r="O391" s="17">
        <f>GETPIVOTDATA("amount_inr",'Pivot Table'!$A$3,"merchant_name",I391,"Date",M391)</f>
        <v>148</v>
      </c>
      <c r="P391" s="17" t="str">
        <f t="shared" si="19"/>
        <v>Standard</v>
      </c>
    </row>
    <row r="392" spans="1:16">
      <c r="A392" s="17" t="s">
        <v>405</v>
      </c>
      <c r="B392" s="17">
        <v>149</v>
      </c>
      <c r="C392" s="17">
        <v>3</v>
      </c>
      <c r="D392" s="18">
        <v>46038.2493055556</v>
      </c>
      <c r="E392" s="17">
        <v>4999</v>
      </c>
      <c r="F392" s="17" t="s">
        <v>9</v>
      </c>
      <c r="G392" s="17" t="s">
        <v>10</v>
      </c>
      <c r="H392" s="17">
        <v>1</v>
      </c>
      <c r="I392" s="17" t="str">
        <f>IFERROR(VLOOKUP(C392,Merchants!$A$2:$D$41,2,FALSE),"Merchant not found")</f>
        <v>Merchant_003</v>
      </c>
      <c r="J392" s="17" t="str">
        <f>IFERROR(VLOOKUP(C392,Merchants!$A$2:$D$41,3,FALSE),"Merchant not found")</f>
        <v>grocery</v>
      </c>
      <c r="K392" s="17" t="str">
        <f>IFERROR(VLOOKUP(C392,Merchants!$A$2:$D$41,4,FALSE),"Merchant not found")</f>
        <v>East</v>
      </c>
      <c r="L392" s="19">
        <f>_xlfn.IFNA(HLOOKUP(F392,'MDR Rates'!$C$1:$F$2,2,FALSE),"N/A")</f>
        <v>0.01</v>
      </c>
      <c r="M392" s="20">
        <f t="shared" si="18"/>
        <v>46038</v>
      </c>
      <c r="N392" s="17">
        <f t="shared" si="20"/>
        <v>4999</v>
      </c>
      <c r="O392" s="17">
        <f>GETPIVOTDATA("amount_inr",'Pivot Table'!$A$3,"merchant_name",I392,"Date",M392)</f>
        <v>4999</v>
      </c>
      <c r="P392" s="17" t="str">
        <f t="shared" si="19"/>
        <v>Standard</v>
      </c>
    </row>
    <row r="393" spans="1:16">
      <c r="A393" s="17" t="s">
        <v>406</v>
      </c>
      <c r="B393" s="17">
        <v>55</v>
      </c>
      <c r="C393" s="17">
        <v>22</v>
      </c>
      <c r="D393" s="18">
        <v>46032.7763888889</v>
      </c>
      <c r="E393" s="17">
        <v>499</v>
      </c>
      <c r="F393" s="17" t="s">
        <v>12</v>
      </c>
      <c r="G393" s="17" t="s">
        <v>10</v>
      </c>
      <c r="H393" s="17">
        <v>36</v>
      </c>
      <c r="I393" s="17" t="str">
        <f>IFERROR(VLOOKUP(C393,Merchants!$A$2:$D$41,2,FALSE),"Merchant not found")</f>
        <v>Merchant_022</v>
      </c>
      <c r="J393" s="17" t="str">
        <f>IFERROR(VLOOKUP(C393,Merchants!$A$2:$D$41,3,FALSE),"Merchant not found")</f>
        <v>travel</v>
      </c>
      <c r="K393" s="17" t="str">
        <f>IFERROR(VLOOKUP(C393,Merchants!$A$2:$D$41,4,FALSE),"Merchant not found")</f>
        <v>South</v>
      </c>
      <c r="L393" s="19">
        <f>_xlfn.IFNA(HLOOKUP(F393,'MDR Rates'!$C$1:$F$2,2,FALSE),"N/A")</f>
        <v>0</v>
      </c>
      <c r="M393" s="20">
        <f t="shared" si="18"/>
        <v>46032</v>
      </c>
      <c r="N393" s="17">
        <f t="shared" si="20"/>
        <v>499</v>
      </c>
      <c r="O393" s="17">
        <f>GETPIVOTDATA("amount_inr",'Pivot Table'!$A$3,"merchant_name",I393,"Date",M393)</f>
        <v>499</v>
      </c>
      <c r="P393" s="17" t="str">
        <f t="shared" si="19"/>
        <v>Standard</v>
      </c>
    </row>
    <row r="394" spans="1:16">
      <c r="A394" s="17" t="s">
        <v>407</v>
      </c>
      <c r="B394" s="17">
        <v>269</v>
      </c>
      <c r="C394" s="17">
        <v>32</v>
      </c>
      <c r="D394" s="18">
        <v>46037.8569444444</v>
      </c>
      <c r="E394" s="17">
        <v>49</v>
      </c>
      <c r="F394" s="17" t="s">
        <v>24</v>
      </c>
      <c r="G394" s="17" t="s">
        <v>10</v>
      </c>
      <c r="H394" s="17">
        <v>17</v>
      </c>
      <c r="I394" s="17" t="str">
        <f>IFERROR(VLOOKUP(C394,Merchants!$A$2:$D$41,2,FALSE),"Merchant not found")</f>
        <v>Merchant_032</v>
      </c>
      <c r="J394" s="17" t="str">
        <f>IFERROR(VLOOKUP(C394,Merchants!$A$2:$D$41,3,FALSE),"Merchant not found")</f>
        <v>food_delivery</v>
      </c>
      <c r="K394" s="17" t="str">
        <f>IFERROR(VLOOKUP(C394,Merchants!$A$2:$D$41,4,FALSE),"Merchant not found")</f>
        <v>West</v>
      </c>
      <c r="L394" s="19">
        <f>_xlfn.IFNA(HLOOKUP(F394,'MDR Rates'!$C$1:$F$2,2,FALSE),"N/A")</f>
        <v>0.02</v>
      </c>
      <c r="M394" s="20">
        <f t="shared" si="18"/>
        <v>46037</v>
      </c>
      <c r="N394" s="17">
        <f t="shared" si="20"/>
        <v>148</v>
      </c>
      <c r="O394" s="17">
        <f>GETPIVOTDATA("amount_inr",'Pivot Table'!$A$3,"merchant_name",I394,"Date",M394)</f>
        <v>148</v>
      </c>
      <c r="P394" s="17" t="str">
        <f t="shared" si="19"/>
        <v>Standard</v>
      </c>
    </row>
    <row r="395" spans="1:16">
      <c r="A395" s="17" t="s">
        <v>408</v>
      </c>
      <c r="B395" s="17">
        <v>140</v>
      </c>
      <c r="C395" s="17">
        <v>13</v>
      </c>
      <c r="D395" s="18">
        <v>46050.6868055556</v>
      </c>
      <c r="E395" s="17">
        <v>2999</v>
      </c>
      <c r="F395" s="17" t="s">
        <v>12</v>
      </c>
      <c r="G395" s="17" t="s">
        <v>10</v>
      </c>
      <c r="H395" s="17">
        <v>14</v>
      </c>
      <c r="I395" s="17" t="str">
        <f>IFERROR(VLOOKUP(C395,Merchants!$A$2:$D$41,2,FALSE),"Merchant not found")</f>
        <v>Merchant_013</v>
      </c>
      <c r="J395" s="17" t="str">
        <f>IFERROR(VLOOKUP(C395,Merchants!$A$2:$D$41,3,FALSE),"Merchant not found")</f>
        <v>travel</v>
      </c>
      <c r="K395" s="17" t="str">
        <f>IFERROR(VLOOKUP(C395,Merchants!$A$2:$D$41,4,FALSE),"Merchant not found")</f>
        <v>East</v>
      </c>
      <c r="L395" s="19">
        <f>_xlfn.IFNA(HLOOKUP(F395,'MDR Rates'!$C$1:$F$2,2,FALSE),"N/A")</f>
        <v>0</v>
      </c>
      <c r="M395" s="20">
        <f t="shared" si="18"/>
        <v>46050</v>
      </c>
      <c r="N395" s="17">
        <f t="shared" si="20"/>
        <v>2999</v>
      </c>
      <c r="O395" s="17">
        <f>GETPIVOTDATA("amount_inr",'Pivot Table'!$A$3,"merchant_name",I395,"Date",M395)</f>
        <v>2999</v>
      </c>
      <c r="P395" s="17" t="str">
        <f t="shared" si="19"/>
        <v>Standard</v>
      </c>
    </row>
    <row r="396" spans="1:16">
      <c r="A396" s="17" t="s">
        <v>409</v>
      </c>
      <c r="B396" s="17">
        <v>235</v>
      </c>
      <c r="C396" s="17">
        <v>17</v>
      </c>
      <c r="D396" s="18">
        <v>46033.2402777778</v>
      </c>
      <c r="E396" s="17">
        <v>2999</v>
      </c>
      <c r="F396" s="17" t="s">
        <v>12</v>
      </c>
      <c r="G396" s="17" t="s">
        <v>10</v>
      </c>
      <c r="H396" s="17">
        <v>91</v>
      </c>
      <c r="I396" s="17" t="str">
        <f>IFERROR(VLOOKUP(C396,Merchants!$A$2:$D$41,2,FALSE),"Merchant not found")</f>
        <v>Merchant_017</v>
      </c>
      <c r="J396" s="17" t="str">
        <f>IFERROR(VLOOKUP(C396,Merchants!$A$2:$D$41,3,FALSE),"Merchant not found")</f>
        <v>grocery</v>
      </c>
      <c r="K396" s="17" t="str">
        <f>IFERROR(VLOOKUP(C396,Merchants!$A$2:$D$41,4,FALSE),"Merchant not found")</f>
        <v>North</v>
      </c>
      <c r="L396" s="19">
        <f>_xlfn.IFNA(HLOOKUP(F396,'MDR Rates'!$C$1:$F$2,2,FALSE),"N/A")</f>
        <v>0</v>
      </c>
      <c r="M396" s="20">
        <f t="shared" si="18"/>
        <v>46033</v>
      </c>
      <c r="N396" s="17">
        <f t="shared" si="20"/>
        <v>7998</v>
      </c>
      <c r="O396" s="17">
        <f>GETPIVOTDATA("amount_inr",'Pivot Table'!$A$3,"merchant_name",I396,"Date",M396)</f>
        <v>7998</v>
      </c>
      <c r="P396" s="17" t="str">
        <f t="shared" si="19"/>
        <v>High-Value Merchant Day</v>
      </c>
    </row>
    <row r="397" spans="1:16">
      <c r="A397" s="17" t="s">
        <v>410</v>
      </c>
      <c r="B397" s="17">
        <v>173</v>
      </c>
      <c r="C397" s="17">
        <v>19</v>
      </c>
      <c r="D397" s="18">
        <v>46028.0326388889</v>
      </c>
      <c r="E397" s="17">
        <v>499</v>
      </c>
      <c r="F397" s="17" t="s">
        <v>12</v>
      </c>
      <c r="G397" s="17" t="s">
        <v>25</v>
      </c>
      <c r="H397" s="17">
        <v>72</v>
      </c>
      <c r="I397" s="17" t="str">
        <f>IFERROR(VLOOKUP(C397,Merchants!$A$2:$D$41,2,FALSE),"Merchant not found")</f>
        <v>Merchant_019</v>
      </c>
      <c r="J397" s="17" t="str">
        <f>IFERROR(VLOOKUP(C397,Merchants!$A$2:$D$41,3,FALSE),"Merchant not found")</f>
        <v>grocery</v>
      </c>
      <c r="K397" s="17" t="str">
        <f>IFERROR(VLOOKUP(C397,Merchants!$A$2:$D$41,4,FALSE),"Merchant not found")</f>
        <v>North</v>
      </c>
      <c r="L397" s="19">
        <f>_xlfn.IFNA(HLOOKUP(F397,'MDR Rates'!$C$1:$F$2,2,FALSE),"N/A")</f>
        <v>0</v>
      </c>
      <c r="M397" s="20">
        <f t="shared" si="18"/>
        <v>46028</v>
      </c>
      <c r="N397" s="17">
        <f t="shared" si="20"/>
        <v>499</v>
      </c>
      <c r="O397" s="17">
        <f>GETPIVOTDATA("amount_inr",'Pivot Table'!$A$3,"merchant_name",I397,"Date",M397)</f>
        <v>499</v>
      </c>
      <c r="P397" s="17" t="str">
        <f t="shared" si="19"/>
        <v>Standard</v>
      </c>
    </row>
    <row r="398" spans="1:16">
      <c r="A398" s="17" t="s">
        <v>411</v>
      </c>
      <c r="B398" s="17">
        <v>313</v>
      </c>
      <c r="C398" s="17">
        <v>26</v>
      </c>
      <c r="D398" s="18">
        <v>46044.2576388889</v>
      </c>
      <c r="E398" s="17">
        <v>499</v>
      </c>
      <c r="F398" s="17" t="s">
        <v>12</v>
      </c>
      <c r="G398" s="17" t="s">
        <v>10</v>
      </c>
      <c r="H398" s="17">
        <v>54</v>
      </c>
      <c r="I398" s="17" t="str">
        <f>IFERROR(VLOOKUP(C398,Merchants!$A$2:$D$41,2,FALSE),"Merchant not found")</f>
        <v>Merchant_026</v>
      </c>
      <c r="J398" s="17" t="str">
        <f>IFERROR(VLOOKUP(C398,Merchants!$A$2:$D$41,3,FALSE),"Merchant not found")</f>
        <v>food_delivery</v>
      </c>
      <c r="K398" s="17" t="str">
        <f>IFERROR(VLOOKUP(C398,Merchants!$A$2:$D$41,4,FALSE),"Merchant not found")</f>
        <v>East</v>
      </c>
      <c r="L398" s="19">
        <f>_xlfn.IFNA(HLOOKUP(F398,'MDR Rates'!$C$1:$F$2,2,FALSE),"N/A")</f>
        <v>0</v>
      </c>
      <c r="M398" s="20">
        <f t="shared" si="18"/>
        <v>46044</v>
      </c>
      <c r="N398" s="17">
        <f t="shared" si="20"/>
        <v>499</v>
      </c>
      <c r="O398" s="17">
        <f>GETPIVOTDATA("amount_inr",'Pivot Table'!$A$3,"merchant_name",I398,"Date",M398)</f>
        <v>499</v>
      </c>
      <c r="P398" s="17" t="str">
        <f t="shared" si="19"/>
        <v>Standard</v>
      </c>
    </row>
    <row r="399" spans="1:16">
      <c r="A399" s="17" t="s">
        <v>412</v>
      </c>
      <c r="B399" s="17">
        <v>206</v>
      </c>
      <c r="C399" s="17">
        <v>7</v>
      </c>
      <c r="D399" s="18">
        <v>46039.4201388889</v>
      </c>
      <c r="E399" s="17">
        <v>149</v>
      </c>
      <c r="F399" s="17" t="s">
        <v>9</v>
      </c>
      <c r="G399" s="17" t="s">
        <v>10</v>
      </c>
      <c r="H399" s="17">
        <v>23</v>
      </c>
      <c r="I399" s="17" t="str">
        <f>IFERROR(VLOOKUP(C399,Merchants!$A$2:$D$41,2,FALSE),"Merchant not found")</f>
        <v>Merchant_007</v>
      </c>
      <c r="J399" s="17" t="str">
        <f>IFERROR(VLOOKUP(C399,Merchants!$A$2:$D$41,3,FALSE),"Merchant not found")</f>
        <v>food_delivery</v>
      </c>
      <c r="K399" s="17" t="str">
        <f>IFERROR(VLOOKUP(C399,Merchants!$A$2:$D$41,4,FALSE),"Merchant not found")</f>
        <v>East</v>
      </c>
      <c r="L399" s="19">
        <f>_xlfn.IFNA(HLOOKUP(F399,'MDR Rates'!$C$1:$F$2,2,FALSE),"N/A")</f>
        <v>0.01</v>
      </c>
      <c r="M399" s="20">
        <f t="shared" si="18"/>
        <v>46039</v>
      </c>
      <c r="N399" s="17">
        <f t="shared" si="20"/>
        <v>149</v>
      </c>
      <c r="O399" s="17">
        <f>GETPIVOTDATA("amount_inr",'Pivot Table'!$A$3,"merchant_name",I399,"Date",M399)</f>
        <v>149</v>
      </c>
      <c r="P399" s="17" t="str">
        <f t="shared" si="19"/>
        <v>Standard</v>
      </c>
    </row>
    <row r="400" spans="1:16">
      <c r="A400" s="17" t="s">
        <v>413</v>
      </c>
      <c r="B400" s="17">
        <v>128</v>
      </c>
      <c r="C400" s="17">
        <v>1</v>
      </c>
      <c r="D400" s="18">
        <v>46027.6388888889</v>
      </c>
      <c r="E400" s="17">
        <v>1499</v>
      </c>
      <c r="F400" s="17" t="s">
        <v>15</v>
      </c>
      <c r="G400" s="17" t="s">
        <v>10</v>
      </c>
      <c r="H400" s="17">
        <v>33</v>
      </c>
      <c r="I400" s="17" t="str">
        <f>IFERROR(VLOOKUP(C400,Merchants!$A$2:$D$41,2,FALSE),"Merchant not found")</f>
        <v>Merchant_001</v>
      </c>
      <c r="J400" s="17" t="str">
        <f>IFERROR(VLOOKUP(C400,Merchants!$A$2:$D$41,3,FALSE),"Merchant not found")</f>
        <v>ecommerce</v>
      </c>
      <c r="K400" s="17" t="str">
        <f>IFERROR(VLOOKUP(C400,Merchants!$A$2:$D$41,4,FALSE),"Merchant not found")</f>
        <v>South</v>
      </c>
      <c r="L400" s="19">
        <f>_xlfn.IFNA(HLOOKUP(F400,'MDR Rates'!$C$1:$F$2,2,FALSE),"N/A")</f>
        <v>0.015</v>
      </c>
      <c r="M400" s="20">
        <f t="shared" si="18"/>
        <v>46027</v>
      </c>
      <c r="N400" s="17">
        <f t="shared" si="20"/>
        <v>1499</v>
      </c>
      <c r="O400" s="17">
        <f>GETPIVOTDATA("amount_inr",'Pivot Table'!$A$3,"merchant_name",I400,"Date",M400)</f>
        <v>1499</v>
      </c>
      <c r="P400" s="17" t="str">
        <f t="shared" si="19"/>
        <v>Standard</v>
      </c>
    </row>
    <row r="401" spans="1:16">
      <c r="A401" s="17" t="s">
        <v>414</v>
      </c>
      <c r="B401" s="17">
        <v>137</v>
      </c>
      <c r="C401" s="17">
        <v>22</v>
      </c>
      <c r="D401" s="18">
        <v>46035.3111111111</v>
      </c>
      <c r="E401" s="17">
        <v>799</v>
      </c>
      <c r="F401" s="17" t="s">
        <v>12</v>
      </c>
      <c r="G401" s="17" t="s">
        <v>25</v>
      </c>
      <c r="H401" s="17">
        <v>38</v>
      </c>
      <c r="I401" s="17" t="str">
        <f>IFERROR(VLOOKUP(C401,Merchants!$A$2:$D$41,2,FALSE),"Merchant not found")</f>
        <v>Merchant_022</v>
      </c>
      <c r="J401" s="17" t="str">
        <f>IFERROR(VLOOKUP(C401,Merchants!$A$2:$D$41,3,FALSE),"Merchant not found")</f>
        <v>travel</v>
      </c>
      <c r="K401" s="17" t="str">
        <f>IFERROR(VLOOKUP(C401,Merchants!$A$2:$D$41,4,FALSE),"Merchant not found")</f>
        <v>South</v>
      </c>
      <c r="L401" s="19">
        <f>_xlfn.IFNA(HLOOKUP(F401,'MDR Rates'!$C$1:$F$2,2,FALSE),"N/A")</f>
        <v>0</v>
      </c>
      <c r="M401" s="20">
        <f t="shared" si="18"/>
        <v>46035</v>
      </c>
      <c r="N401" s="17">
        <f t="shared" si="20"/>
        <v>5798</v>
      </c>
      <c r="O401" s="17">
        <f>GETPIVOTDATA("amount_inr",'Pivot Table'!$A$3,"merchant_name",I401,"Date",M401)</f>
        <v>5798</v>
      </c>
      <c r="P401" s="17" t="str">
        <f t="shared" si="19"/>
        <v>High-Value Merchant Day</v>
      </c>
    </row>
    <row r="402" spans="1:16">
      <c r="A402" s="17" t="s">
        <v>415</v>
      </c>
      <c r="B402" s="17">
        <v>6</v>
      </c>
      <c r="C402" s="17">
        <v>17</v>
      </c>
      <c r="D402" s="18">
        <v>46041.9833333333</v>
      </c>
      <c r="E402" s="17">
        <v>49</v>
      </c>
      <c r="F402" s="17" t="s">
        <v>12</v>
      </c>
      <c r="G402" s="17" t="s">
        <v>10</v>
      </c>
      <c r="H402" s="17">
        <v>83</v>
      </c>
      <c r="I402" s="17" t="str">
        <f>IFERROR(VLOOKUP(C402,Merchants!$A$2:$D$41,2,FALSE),"Merchant not found")</f>
        <v>Merchant_017</v>
      </c>
      <c r="J402" s="17" t="str">
        <f>IFERROR(VLOOKUP(C402,Merchants!$A$2:$D$41,3,FALSE),"Merchant not found")</f>
        <v>grocery</v>
      </c>
      <c r="K402" s="17" t="str">
        <f>IFERROR(VLOOKUP(C402,Merchants!$A$2:$D$41,4,FALSE),"Merchant not found")</f>
        <v>North</v>
      </c>
      <c r="L402" s="19">
        <f>_xlfn.IFNA(HLOOKUP(F402,'MDR Rates'!$C$1:$F$2,2,FALSE),"N/A")</f>
        <v>0</v>
      </c>
      <c r="M402" s="20">
        <f t="shared" si="18"/>
        <v>46041</v>
      </c>
      <c r="N402" s="17">
        <f t="shared" si="20"/>
        <v>49</v>
      </c>
      <c r="O402" s="17">
        <f>GETPIVOTDATA("amount_inr",'Pivot Table'!$A$3,"merchant_name",I402,"Date",M402)</f>
        <v>49</v>
      </c>
      <c r="P402" s="17" t="str">
        <f t="shared" si="19"/>
        <v>Standard</v>
      </c>
    </row>
    <row r="403" spans="1:16">
      <c r="A403" s="17" t="s">
        <v>416</v>
      </c>
      <c r="B403" s="17">
        <v>32</v>
      </c>
      <c r="C403" s="17">
        <v>8</v>
      </c>
      <c r="D403" s="18">
        <v>46034.9270833333</v>
      </c>
      <c r="E403" s="17">
        <v>299</v>
      </c>
      <c r="F403" s="17" t="s">
        <v>24</v>
      </c>
      <c r="G403" s="17" t="s">
        <v>10</v>
      </c>
      <c r="H403" s="17">
        <v>59</v>
      </c>
      <c r="I403" s="17" t="str">
        <f>IFERROR(VLOOKUP(C403,Merchants!$A$2:$D$41,2,FALSE),"Merchant not found")</f>
        <v>Merchant_008</v>
      </c>
      <c r="J403" s="17" t="str">
        <f>IFERROR(VLOOKUP(C403,Merchants!$A$2:$D$41,3,FALSE),"Merchant not found")</f>
        <v>food_delivery</v>
      </c>
      <c r="K403" s="17" t="str">
        <f>IFERROR(VLOOKUP(C403,Merchants!$A$2:$D$41,4,FALSE),"Merchant not found")</f>
        <v>North</v>
      </c>
      <c r="L403" s="19">
        <f>_xlfn.IFNA(HLOOKUP(F403,'MDR Rates'!$C$1:$F$2,2,FALSE),"N/A")</f>
        <v>0.02</v>
      </c>
      <c r="M403" s="20">
        <f t="shared" si="18"/>
        <v>46034</v>
      </c>
      <c r="N403" s="17">
        <f t="shared" si="20"/>
        <v>398</v>
      </c>
      <c r="O403" s="17">
        <f>GETPIVOTDATA("amount_inr",'Pivot Table'!$A$3,"merchant_name",I403,"Date",M403)</f>
        <v>398</v>
      </c>
      <c r="P403" s="17" t="str">
        <f t="shared" si="19"/>
        <v>Standard</v>
      </c>
    </row>
    <row r="404" spans="1:16">
      <c r="A404" s="17" t="s">
        <v>417</v>
      </c>
      <c r="B404" s="17">
        <v>258</v>
      </c>
      <c r="C404" s="17">
        <v>20</v>
      </c>
      <c r="D404" s="18">
        <v>46032.2256944444</v>
      </c>
      <c r="E404" s="17">
        <v>149</v>
      </c>
      <c r="F404" s="17" t="s">
        <v>12</v>
      </c>
      <c r="G404" s="17" t="s">
        <v>10</v>
      </c>
      <c r="H404" s="17">
        <v>88</v>
      </c>
      <c r="I404" s="17" t="str">
        <f>IFERROR(VLOOKUP(C404,Merchants!$A$2:$D$41,2,FALSE),"Merchant not found")</f>
        <v>Merchant_020</v>
      </c>
      <c r="J404" s="17" t="str">
        <f>IFERROR(VLOOKUP(C404,Merchants!$A$2:$D$41,3,FALSE),"Merchant not found")</f>
        <v>food_delivery</v>
      </c>
      <c r="K404" s="17" t="str">
        <f>IFERROR(VLOOKUP(C404,Merchants!$A$2:$D$41,4,FALSE),"Merchant not found")</f>
        <v>East</v>
      </c>
      <c r="L404" s="19">
        <f>_xlfn.IFNA(HLOOKUP(F404,'MDR Rates'!$C$1:$F$2,2,FALSE),"N/A")</f>
        <v>0</v>
      </c>
      <c r="M404" s="20">
        <f t="shared" si="18"/>
        <v>46032</v>
      </c>
      <c r="N404" s="17">
        <f t="shared" si="20"/>
        <v>149</v>
      </c>
      <c r="O404" s="17">
        <f>GETPIVOTDATA("amount_inr",'Pivot Table'!$A$3,"merchant_name",I404,"Date",M404)</f>
        <v>149</v>
      </c>
      <c r="P404" s="17" t="str">
        <f t="shared" si="19"/>
        <v>Standard</v>
      </c>
    </row>
    <row r="405" spans="1:16">
      <c r="A405" s="17" t="s">
        <v>418</v>
      </c>
      <c r="B405" s="17">
        <v>152</v>
      </c>
      <c r="C405" s="17">
        <v>24</v>
      </c>
      <c r="D405" s="18">
        <v>46026.8736111111</v>
      </c>
      <c r="E405" s="17">
        <v>149</v>
      </c>
      <c r="F405" s="17" t="s">
        <v>12</v>
      </c>
      <c r="G405" s="17" t="s">
        <v>38</v>
      </c>
      <c r="H405" s="17">
        <v>78</v>
      </c>
      <c r="I405" s="17" t="str">
        <f>IFERROR(VLOOKUP(C405,Merchants!$A$2:$D$41,2,FALSE),"Merchant not found")</f>
        <v>Merchant_024</v>
      </c>
      <c r="J405" s="17" t="str">
        <f>IFERROR(VLOOKUP(C405,Merchants!$A$2:$D$41,3,FALSE),"Merchant not found")</f>
        <v>grocery</v>
      </c>
      <c r="K405" s="17" t="str">
        <f>IFERROR(VLOOKUP(C405,Merchants!$A$2:$D$41,4,FALSE),"Merchant not found")</f>
        <v>North</v>
      </c>
      <c r="L405" s="19">
        <f>_xlfn.IFNA(HLOOKUP(F405,'MDR Rates'!$C$1:$F$2,2,FALSE),"N/A")</f>
        <v>0</v>
      </c>
      <c r="M405" s="20">
        <f t="shared" si="18"/>
        <v>46026</v>
      </c>
      <c r="N405" s="17">
        <f t="shared" si="20"/>
        <v>149</v>
      </c>
      <c r="O405" s="17">
        <f>GETPIVOTDATA("amount_inr",'Pivot Table'!$A$3,"merchant_name",I405,"Date",M405)</f>
        <v>149</v>
      </c>
      <c r="P405" s="17" t="str">
        <f t="shared" si="19"/>
        <v>Standard</v>
      </c>
    </row>
    <row r="406" spans="1:16">
      <c r="A406" s="17" t="s">
        <v>419</v>
      </c>
      <c r="B406" s="17">
        <v>245</v>
      </c>
      <c r="C406" s="17">
        <v>10</v>
      </c>
      <c r="D406" s="18">
        <v>46030.2972222222</v>
      </c>
      <c r="E406" s="17">
        <v>799</v>
      </c>
      <c r="F406" s="17" t="s">
        <v>9</v>
      </c>
      <c r="G406" s="17" t="s">
        <v>10</v>
      </c>
      <c r="H406" s="17">
        <v>58</v>
      </c>
      <c r="I406" s="17" t="str">
        <f>IFERROR(VLOOKUP(C406,Merchants!$A$2:$D$41,2,FALSE),"Merchant not found")</f>
        <v>Merchant_010</v>
      </c>
      <c r="J406" s="17" t="str">
        <f>IFERROR(VLOOKUP(C406,Merchants!$A$2:$D$41,3,FALSE),"Merchant not found")</f>
        <v>grocery</v>
      </c>
      <c r="K406" s="17" t="str">
        <f>IFERROR(VLOOKUP(C406,Merchants!$A$2:$D$41,4,FALSE),"Merchant not found")</f>
        <v>West</v>
      </c>
      <c r="L406" s="19">
        <f>_xlfn.IFNA(HLOOKUP(F406,'MDR Rates'!$C$1:$F$2,2,FALSE),"N/A")</f>
        <v>0.01</v>
      </c>
      <c r="M406" s="20">
        <f t="shared" si="18"/>
        <v>46030</v>
      </c>
      <c r="N406" s="17">
        <f t="shared" si="20"/>
        <v>799</v>
      </c>
      <c r="O406" s="17">
        <f>GETPIVOTDATA("amount_inr",'Pivot Table'!$A$3,"merchant_name",I406,"Date",M406)</f>
        <v>799</v>
      </c>
      <c r="P406" s="17" t="str">
        <f t="shared" si="19"/>
        <v>Standard</v>
      </c>
    </row>
    <row r="407" spans="1:16">
      <c r="A407" s="17" t="s">
        <v>420</v>
      </c>
      <c r="B407" s="17">
        <v>213</v>
      </c>
      <c r="C407" s="17">
        <v>36</v>
      </c>
      <c r="D407" s="18">
        <v>46046.8076388889</v>
      </c>
      <c r="E407" s="17">
        <v>49</v>
      </c>
      <c r="F407" s="17" t="s">
        <v>9</v>
      </c>
      <c r="G407" s="17" t="s">
        <v>10</v>
      </c>
      <c r="H407" s="17">
        <v>60</v>
      </c>
      <c r="I407" s="17" t="str">
        <f>IFERROR(VLOOKUP(C407,Merchants!$A$2:$D$41,2,FALSE),"Merchant not found")</f>
        <v>Merchant_036</v>
      </c>
      <c r="J407" s="17" t="str">
        <f>IFERROR(VLOOKUP(C407,Merchants!$A$2:$D$41,3,FALSE),"Merchant not found")</f>
        <v>entertainment</v>
      </c>
      <c r="K407" s="17" t="str">
        <f>IFERROR(VLOOKUP(C407,Merchants!$A$2:$D$41,4,FALSE),"Merchant not found")</f>
        <v>East</v>
      </c>
      <c r="L407" s="19">
        <f>_xlfn.IFNA(HLOOKUP(F407,'MDR Rates'!$C$1:$F$2,2,FALSE),"N/A")</f>
        <v>0.01</v>
      </c>
      <c r="M407" s="20">
        <f t="shared" si="18"/>
        <v>46046</v>
      </c>
      <c r="N407" s="17">
        <f t="shared" si="20"/>
        <v>1647</v>
      </c>
      <c r="O407" s="17">
        <f>GETPIVOTDATA("amount_inr",'Pivot Table'!$A$3,"merchant_name",I407,"Date",M407)</f>
        <v>1647</v>
      </c>
      <c r="P407" s="17" t="str">
        <f t="shared" si="19"/>
        <v>Standard</v>
      </c>
    </row>
    <row r="408" spans="1:16">
      <c r="A408" s="17" t="s">
        <v>421</v>
      </c>
      <c r="B408" s="17">
        <v>341</v>
      </c>
      <c r="C408" s="17">
        <v>14</v>
      </c>
      <c r="D408" s="18">
        <v>46047.74375</v>
      </c>
      <c r="E408" s="17">
        <v>99</v>
      </c>
      <c r="F408" s="17" t="s">
        <v>15</v>
      </c>
      <c r="G408" s="17" t="s">
        <v>10</v>
      </c>
      <c r="H408" s="17">
        <v>97</v>
      </c>
      <c r="I408" s="17" t="str">
        <f>IFERROR(VLOOKUP(C408,Merchants!$A$2:$D$41,2,FALSE),"Merchant not found")</f>
        <v>Merchant_014</v>
      </c>
      <c r="J408" s="17" t="str">
        <f>IFERROR(VLOOKUP(C408,Merchants!$A$2:$D$41,3,FALSE),"Merchant not found")</f>
        <v>grocery</v>
      </c>
      <c r="K408" s="17" t="str">
        <f>IFERROR(VLOOKUP(C408,Merchants!$A$2:$D$41,4,FALSE),"Merchant not found")</f>
        <v>East</v>
      </c>
      <c r="L408" s="19">
        <f>_xlfn.IFNA(HLOOKUP(F408,'MDR Rates'!$C$1:$F$2,2,FALSE),"N/A")</f>
        <v>0.015</v>
      </c>
      <c r="M408" s="20">
        <f t="shared" si="18"/>
        <v>46047</v>
      </c>
      <c r="N408" s="17">
        <f t="shared" si="20"/>
        <v>1598</v>
      </c>
      <c r="O408" s="17">
        <f>GETPIVOTDATA("amount_inr",'Pivot Table'!$A$3,"merchant_name",I408,"Date",M408)</f>
        <v>1598</v>
      </c>
      <c r="P408" s="17" t="str">
        <f t="shared" si="19"/>
        <v>Standard</v>
      </c>
    </row>
    <row r="409" spans="1:16">
      <c r="A409" s="17" t="s">
        <v>422</v>
      </c>
      <c r="B409" s="17">
        <v>306</v>
      </c>
      <c r="C409" s="17">
        <v>6</v>
      </c>
      <c r="D409" s="18">
        <v>46030.9083333333</v>
      </c>
      <c r="E409" s="17">
        <v>149</v>
      </c>
      <c r="F409" s="17" t="s">
        <v>15</v>
      </c>
      <c r="G409" s="17" t="s">
        <v>10</v>
      </c>
      <c r="H409" s="17">
        <v>67</v>
      </c>
      <c r="I409" s="17" t="str">
        <f>IFERROR(VLOOKUP(C409,Merchants!$A$2:$D$41,2,FALSE),"Merchant not found")</f>
        <v>Merchant_006</v>
      </c>
      <c r="J409" s="17" t="str">
        <f>IFERROR(VLOOKUP(C409,Merchants!$A$2:$D$41,3,FALSE),"Merchant not found")</f>
        <v>food_delivery</v>
      </c>
      <c r="K409" s="17" t="str">
        <f>IFERROR(VLOOKUP(C409,Merchants!$A$2:$D$41,4,FALSE),"Merchant not found")</f>
        <v>South</v>
      </c>
      <c r="L409" s="19">
        <f>_xlfn.IFNA(HLOOKUP(F409,'MDR Rates'!$C$1:$F$2,2,FALSE),"N/A")</f>
        <v>0.015</v>
      </c>
      <c r="M409" s="20">
        <f t="shared" si="18"/>
        <v>46030</v>
      </c>
      <c r="N409" s="17">
        <f t="shared" si="20"/>
        <v>149</v>
      </c>
      <c r="O409" s="17">
        <f>GETPIVOTDATA("amount_inr",'Pivot Table'!$A$3,"merchant_name",I409,"Date",M409)</f>
        <v>149</v>
      </c>
      <c r="P409" s="17" t="str">
        <f t="shared" si="19"/>
        <v>Standard</v>
      </c>
    </row>
    <row r="410" spans="1:16">
      <c r="A410" s="17" t="s">
        <v>423</v>
      </c>
      <c r="B410" s="17">
        <v>186</v>
      </c>
      <c r="C410" s="17">
        <v>5</v>
      </c>
      <c r="D410" s="18">
        <v>46037.6979166667</v>
      </c>
      <c r="E410" s="17">
        <v>499</v>
      </c>
      <c r="F410" s="17" t="s">
        <v>12</v>
      </c>
      <c r="G410" s="17" t="s">
        <v>10</v>
      </c>
      <c r="H410" s="17">
        <v>72</v>
      </c>
      <c r="I410" s="17" t="str">
        <f>IFERROR(VLOOKUP(C410,Merchants!$A$2:$D$41,2,FALSE),"Merchant not found")</f>
        <v>Merchant_005</v>
      </c>
      <c r="J410" s="17" t="str">
        <f>IFERROR(VLOOKUP(C410,Merchants!$A$2:$D$41,3,FALSE),"Merchant not found")</f>
        <v>recharge</v>
      </c>
      <c r="K410" s="17" t="str">
        <f>IFERROR(VLOOKUP(C410,Merchants!$A$2:$D$41,4,FALSE),"Merchant not found")</f>
        <v>South</v>
      </c>
      <c r="L410" s="19">
        <f>_xlfn.IFNA(HLOOKUP(F410,'MDR Rates'!$C$1:$F$2,2,FALSE),"N/A")</f>
        <v>0</v>
      </c>
      <c r="M410" s="20">
        <f t="shared" si="18"/>
        <v>46037</v>
      </c>
      <c r="N410" s="17">
        <f t="shared" si="20"/>
        <v>548</v>
      </c>
      <c r="O410" s="17">
        <f>GETPIVOTDATA("amount_inr",'Pivot Table'!$A$3,"merchant_name",I410,"Date",M410)</f>
        <v>548</v>
      </c>
      <c r="P410" s="17" t="str">
        <f t="shared" si="19"/>
        <v>Standard</v>
      </c>
    </row>
    <row r="411" spans="1:16">
      <c r="A411" s="17" t="s">
        <v>424</v>
      </c>
      <c r="B411" s="17">
        <v>281</v>
      </c>
      <c r="C411" s="17">
        <v>33</v>
      </c>
      <c r="D411" s="18">
        <v>46026.0784722222</v>
      </c>
      <c r="E411" s="17">
        <v>4999</v>
      </c>
      <c r="F411" s="17" t="s">
        <v>12</v>
      </c>
      <c r="G411" s="17" t="s">
        <v>10</v>
      </c>
      <c r="H411" s="17">
        <v>25</v>
      </c>
      <c r="I411" s="17" t="str">
        <f>IFERROR(VLOOKUP(C411,Merchants!$A$2:$D$41,2,FALSE),"Merchant not found")</f>
        <v>Merchant_033</v>
      </c>
      <c r="J411" s="17" t="str">
        <f>IFERROR(VLOOKUP(C411,Merchants!$A$2:$D$41,3,FALSE),"Merchant not found")</f>
        <v>bill_payment</v>
      </c>
      <c r="K411" s="17" t="str">
        <f>IFERROR(VLOOKUP(C411,Merchants!$A$2:$D$41,4,FALSE),"Merchant not found")</f>
        <v>East</v>
      </c>
      <c r="L411" s="19">
        <f>_xlfn.IFNA(HLOOKUP(F411,'MDR Rates'!$C$1:$F$2,2,FALSE),"N/A")</f>
        <v>0</v>
      </c>
      <c r="M411" s="20">
        <f t="shared" si="18"/>
        <v>46026</v>
      </c>
      <c r="N411" s="17">
        <f t="shared" si="20"/>
        <v>4999</v>
      </c>
      <c r="O411" s="17">
        <f>GETPIVOTDATA("amount_inr",'Pivot Table'!$A$3,"merchant_name",I411,"Date",M411)</f>
        <v>4999</v>
      </c>
      <c r="P411" s="17" t="str">
        <f t="shared" si="19"/>
        <v>Standard</v>
      </c>
    </row>
    <row r="412" spans="1:16">
      <c r="A412" s="17" t="s">
        <v>425</v>
      </c>
      <c r="B412" s="17">
        <v>85</v>
      </c>
      <c r="C412" s="17">
        <v>21</v>
      </c>
      <c r="D412" s="18">
        <v>46041.7145833333</v>
      </c>
      <c r="E412" s="17">
        <v>99</v>
      </c>
      <c r="F412" s="17" t="s">
        <v>12</v>
      </c>
      <c r="G412" s="17" t="s">
        <v>10</v>
      </c>
      <c r="H412" s="17">
        <v>66</v>
      </c>
      <c r="I412" s="17" t="str">
        <f>IFERROR(VLOOKUP(C412,Merchants!$A$2:$D$41,2,FALSE),"Merchant not found")</f>
        <v>Merchant_021</v>
      </c>
      <c r="J412" s="17" t="str">
        <f>IFERROR(VLOOKUP(C412,Merchants!$A$2:$D$41,3,FALSE),"Merchant not found")</f>
        <v>food_delivery</v>
      </c>
      <c r="K412" s="17" t="str">
        <f>IFERROR(VLOOKUP(C412,Merchants!$A$2:$D$41,4,FALSE),"Merchant not found")</f>
        <v>East</v>
      </c>
      <c r="L412" s="19">
        <f>_xlfn.IFNA(HLOOKUP(F412,'MDR Rates'!$C$1:$F$2,2,FALSE),"N/A")</f>
        <v>0</v>
      </c>
      <c r="M412" s="20">
        <f t="shared" si="18"/>
        <v>46041</v>
      </c>
      <c r="N412" s="17">
        <f t="shared" si="20"/>
        <v>99</v>
      </c>
      <c r="O412" s="17">
        <f>GETPIVOTDATA("amount_inr",'Pivot Table'!$A$3,"merchant_name",I412,"Date",M412)</f>
        <v>99</v>
      </c>
      <c r="P412" s="17" t="str">
        <f t="shared" si="19"/>
        <v>Standard</v>
      </c>
    </row>
    <row r="413" spans="1:16">
      <c r="A413" s="17" t="s">
        <v>426</v>
      </c>
      <c r="B413" s="17">
        <v>106</v>
      </c>
      <c r="C413" s="17">
        <v>38</v>
      </c>
      <c r="D413" s="18">
        <v>46037.1548611111</v>
      </c>
      <c r="E413" s="17">
        <v>499</v>
      </c>
      <c r="F413" s="17" t="s">
        <v>12</v>
      </c>
      <c r="G413" s="17" t="s">
        <v>10</v>
      </c>
      <c r="H413" s="17">
        <v>62</v>
      </c>
      <c r="I413" s="17" t="str">
        <f>IFERROR(VLOOKUP(C413,Merchants!$A$2:$D$41,2,FALSE),"Merchant not found")</f>
        <v>Merchant_038</v>
      </c>
      <c r="J413" s="17" t="str">
        <f>IFERROR(VLOOKUP(C413,Merchants!$A$2:$D$41,3,FALSE),"Merchant not found")</f>
        <v>grocery</v>
      </c>
      <c r="K413" s="17" t="str">
        <f>IFERROR(VLOOKUP(C413,Merchants!$A$2:$D$41,4,FALSE),"Merchant not found")</f>
        <v>East</v>
      </c>
      <c r="L413" s="19">
        <f>_xlfn.IFNA(HLOOKUP(F413,'MDR Rates'!$C$1:$F$2,2,FALSE),"N/A")</f>
        <v>0</v>
      </c>
      <c r="M413" s="20">
        <f t="shared" si="18"/>
        <v>46037</v>
      </c>
      <c r="N413" s="17">
        <f t="shared" si="20"/>
        <v>499</v>
      </c>
      <c r="O413" s="17">
        <f>GETPIVOTDATA("amount_inr",'Pivot Table'!$A$3,"merchant_name",I413,"Date",M413)</f>
        <v>499</v>
      </c>
      <c r="P413" s="17" t="str">
        <f t="shared" si="19"/>
        <v>Standard</v>
      </c>
    </row>
    <row r="414" spans="1:16">
      <c r="A414" s="17" t="s">
        <v>427</v>
      </c>
      <c r="B414" s="17">
        <v>29</v>
      </c>
      <c r="C414" s="17">
        <v>30</v>
      </c>
      <c r="D414" s="18">
        <v>46025.6861111111</v>
      </c>
      <c r="E414" s="17">
        <v>149</v>
      </c>
      <c r="F414" s="17" t="s">
        <v>15</v>
      </c>
      <c r="G414" s="17" t="s">
        <v>10</v>
      </c>
      <c r="H414" s="17">
        <v>16</v>
      </c>
      <c r="I414" s="17" t="str">
        <f>IFERROR(VLOOKUP(C414,Merchants!$A$2:$D$41,2,FALSE),"Merchant not found")</f>
        <v>Merchant_030</v>
      </c>
      <c r="J414" s="17" t="str">
        <f>IFERROR(VLOOKUP(C414,Merchants!$A$2:$D$41,3,FALSE),"Merchant not found")</f>
        <v>travel</v>
      </c>
      <c r="K414" s="17" t="str">
        <f>IFERROR(VLOOKUP(C414,Merchants!$A$2:$D$41,4,FALSE),"Merchant not found")</f>
        <v>West</v>
      </c>
      <c r="L414" s="19">
        <f>_xlfn.IFNA(HLOOKUP(F414,'MDR Rates'!$C$1:$F$2,2,FALSE),"N/A")</f>
        <v>0.015</v>
      </c>
      <c r="M414" s="20">
        <f t="shared" si="18"/>
        <v>46025</v>
      </c>
      <c r="N414" s="17">
        <f t="shared" si="20"/>
        <v>149</v>
      </c>
      <c r="O414" s="17">
        <f>GETPIVOTDATA("amount_inr",'Pivot Table'!$A$3,"merchant_name",I414,"Date",M414)</f>
        <v>149</v>
      </c>
      <c r="P414" s="17" t="str">
        <f t="shared" si="19"/>
        <v>Standard</v>
      </c>
    </row>
    <row r="415" spans="1:16">
      <c r="A415" s="17" t="s">
        <v>428</v>
      </c>
      <c r="B415" s="17">
        <v>289</v>
      </c>
      <c r="C415" s="17">
        <v>4</v>
      </c>
      <c r="D415" s="18">
        <v>46039.5618055556</v>
      </c>
      <c r="E415" s="17">
        <v>1499</v>
      </c>
      <c r="F415" s="17" t="s">
        <v>24</v>
      </c>
      <c r="G415" s="17" t="s">
        <v>10</v>
      </c>
      <c r="H415" s="17">
        <v>71</v>
      </c>
      <c r="I415" s="17" t="str">
        <f>IFERROR(VLOOKUP(C415,Merchants!$A$2:$D$41,2,FALSE),"Merchant not found")</f>
        <v>Merchant_004</v>
      </c>
      <c r="J415" s="17" t="str">
        <f>IFERROR(VLOOKUP(C415,Merchants!$A$2:$D$41,3,FALSE),"Merchant not found")</f>
        <v>ecommerce</v>
      </c>
      <c r="K415" s="17" t="str">
        <f>IFERROR(VLOOKUP(C415,Merchants!$A$2:$D$41,4,FALSE),"Merchant not found")</f>
        <v>East</v>
      </c>
      <c r="L415" s="19">
        <f>_xlfn.IFNA(HLOOKUP(F415,'MDR Rates'!$C$1:$F$2,2,FALSE),"N/A")</f>
        <v>0.02</v>
      </c>
      <c r="M415" s="20">
        <f t="shared" si="18"/>
        <v>46039</v>
      </c>
      <c r="N415" s="17">
        <f t="shared" si="20"/>
        <v>1499</v>
      </c>
      <c r="O415" s="17">
        <f>GETPIVOTDATA("amount_inr",'Pivot Table'!$A$3,"merchant_name",I415,"Date",M415)</f>
        <v>1499</v>
      </c>
      <c r="P415" s="17" t="str">
        <f t="shared" si="19"/>
        <v>Standard</v>
      </c>
    </row>
    <row r="416" spans="1:16">
      <c r="A416" s="17" t="s">
        <v>429</v>
      </c>
      <c r="B416" s="17">
        <v>158</v>
      </c>
      <c r="C416" s="17">
        <v>2</v>
      </c>
      <c r="D416" s="18">
        <v>46037.9104166667</v>
      </c>
      <c r="E416" s="17">
        <v>1499</v>
      </c>
      <c r="F416" s="17" t="s">
        <v>24</v>
      </c>
      <c r="G416" s="17" t="s">
        <v>10</v>
      </c>
      <c r="H416" s="17">
        <v>50</v>
      </c>
      <c r="I416" s="17" t="str">
        <f>IFERROR(VLOOKUP(C416,Merchants!$A$2:$D$41,2,FALSE),"Merchant not found")</f>
        <v>Merchant_002</v>
      </c>
      <c r="J416" s="17" t="str">
        <f>IFERROR(VLOOKUP(C416,Merchants!$A$2:$D$41,3,FALSE),"Merchant not found")</f>
        <v>grocery</v>
      </c>
      <c r="K416" s="17" t="str">
        <f>IFERROR(VLOOKUP(C416,Merchants!$A$2:$D$41,4,FALSE),"Merchant not found")</f>
        <v>West</v>
      </c>
      <c r="L416" s="19">
        <f>_xlfn.IFNA(HLOOKUP(F416,'MDR Rates'!$C$1:$F$2,2,FALSE),"N/A")</f>
        <v>0.02</v>
      </c>
      <c r="M416" s="20">
        <f t="shared" si="18"/>
        <v>46037</v>
      </c>
      <c r="N416" s="17">
        <f t="shared" si="20"/>
        <v>1499</v>
      </c>
      <c r="O416" s="17">
        <f>GETPIVOTDATA("amount_inr",'Pivot Table'!$A$3,"merchant_name",I416,"Date",M416)</f>
        <v>1499</v>
      </c>
      <c r="P416" s="17" t="str">
        <f t="shared" si="19"/>
        <v>Standard</v>
      </c>
    </row>
    <row r="417" spans="1:16">
      <c r="A417" s="17" t="s">
        <v>430</v>
      </c>
      <c r="B417" s="17">
        <v>112</v>
      </c>
      <c r="C417" s="17">
        <v>38</v>
      </c>
      <c r="D417" s="18">
        <v>46031.0326388889</v>
      </c>
      <c r="E417" s="17">
        <v>49</v>
      </c>
      <c r="F417" s="17" t="s">
        <v>12</v>
      </c>
      <c r="G417" s="17" t="s">
        <v>10</v>
      </c>
      <c r="H417" s="17">
        <v>9</v>
      </c>
      <c r="I417" s="17" t="str">
        <f>IFERROR(VLOOKUP(C417,Merchants!$A$2:$D$41,2,FALSE),"Merchant not found")</f>
        <v>Merchant_038</v>
      </c>
      <c r="J417" s="17" t="str">
        <f>IFERROR(VLOOKUP(C417,Merchants!$A$2:$D$41,3,FALSE),"Merchant not found")</f>
        <v>grocery</v>
      </c>
      <c r="K417" s="17" t="str">
        <f>IFERROR(VLOOKUP(C417,Merchants!$A$2:$D$41,4,FALSE),"Merchant not found")</f>
        <v>East</v>
      </c>
      <c r="L417" s="19">
        <f>_xlfn.IFNA(HLOOKUP(F417,'MDR Rates'!$C$1:$F$2,2,FALSE),"N/A")</f>
        <v>0</v>
      </c>
      <c r="M417" s="20">
        <f t="shared" si="18"/>
        <v>46031</v>
      </c>
      <c r="N417" s="17">
        <f t="shared" si="20"/>
        <v>348</v>
      </c>
      <c r="O417" s="17">
        <f>GETPIVOTDATA("amount_inr",'Pivot Table'!$A$3,"merchant_name",I417,"Date",M417)</f>
        <v>348</v>
      </c>
      <c r="P417" s="17" t="str">
        <f t="shared" si="19"/>
        <v>Standard</v>
      </c>
    </row>
    <row r="418" spans="1:16">
      <c r="A418" s="17" t="s">
        <v>431</v>
      </c>
      <c r="B418" s="17">
        <v>33</v>
      </c>
      <c r="C418" s="17">
        <v>35</v>
      </c>
      <c r="D418" s="18">
        <v>46024.5569444444</v>
      </c>
      <c r="E418" s="17">
        <v>299</v>
      </c>
      <c r="F418" s="17" t="s">
        <v>24</v>
      </c>
      <c r="G418" s="17" t="s">
        <v>25</v>
      </c>
      <c r="H418" s="17">
        <v>7</v>
      </c>
      <c r="I418" s="17" t="str">
        <f>IFERROR(VLOOKUP(C418,Merchants!$A$2:$D$41,2,FALSE),"Merchant not found")</f>
        <v>Merchant_035</v>
      </c>
      <c r="J418" s="17" t="str">
        <f>IFERROR(VLOOKUP(C418,Merchants!$A$2:$D$41,3,FALSE),"Merchant not found")</f>
        <v>recharge</v>
      </c>
      <c r="K418" s="17" t="str">
        <f>IFERROR(VLOOKUP(C418,Merchants!$A$2:$D$41,4,FALSE),"Merchant not found")</f>
        <v>East</v>
      </c>
      <c r="L418" s="19">
        <f>_xlfn.IFNA(HLOOKUP(F418,'MDR Rates'!$C$1:$F$2,2,FALSE),"N/A")</f>
        <v>0.02</v>
      </c>
      <c r="M418" s="20">
        <f t="shared" si="18"/>
        <v>46024</v>
      </c>
      <c r="N418" s="17">
        <f t="shared" si="20"/>
        <v>1847</v>
      </c>
      <c r="O418" s="17">
        <f>GETPIVOTDATA("amount_inr",'Pivot Table'!$A$3,"merchant_name",I418,"Date",M418)</f>
        <v>1847</v>
      </c>
      <c r="P418" s="17" t="str">
        <f t="shared" si="19"/>
        <v>Standard</v>
      </c>
    </row>
    <row r="419" spans="1:16">
      <c r="A419" s="17" t="s">
        <v>432</v>
      </c>
      <c r="B419" s="17">
        <v>242</v>
      </c>
      <c r="C419" s="17">
        <v>3</v>
      </c>
      <c r="D419" s="18">
        <v>46052.1243055556</v>
      </c>
      <c r="E419" s="17">
        <v>49</v>
      </c>
      <c r="F419" s="17" t="s">
        <v>12</v>
      </c>
      <c r="G419" s="17" t="s">
        <v>10</v>
      </c>
      <c r="H419" s="17">
        <v>36</v>
      </c>
      <c r="I419" s="17" t="str">
        <f>IFERROR(VLOOKUP(C419,Merchants!$A$2:$D$41,2,FALSE),"Merchant not found")</f>
        <v>Merchant_003</v>
      </c>
      <c r="J419" s="17" t="str">
        <f>IFERROR(VLOOKUP(C419,Merchants!$A$2:$D$41,3,FALSE),"Merchant not found")</f>
        <v>grocery</v>
      </c>
      <c r="K419" s="17" t="str">
        <f>IFERROR(VLOOKUP(C419,Merchants!$A$2:$D$41,4,FALSE),"Merchant not found")</f>
        <v>East</v>
      </c>
      <c r="L419" s="19">
        <f>_xlfn.IFNA(HLOOKUP(F419,'MDR Rates'!$C$1:$F$2,2,FALSE),"N/A")</f>
        <v>0</v>
      </c>
      <c r="M419" s="20">
        <f t="shared" si="18"/>
        <v>46052</v>
      </c>
      <c r="N419" s="17">
        <f t="shared" si="20"/>
        <v>49</v>
      </c>
      <c r="O419" s="17">
        <f>GETPIVOTDATA("amount_inr",'Pivot Table'!$A$3,"merchant_name",I419,"Date",M419)</f>
        <v>49</v>
      </c>
      <c r="P419" s="17" t="str">
        <f t="shared" si="19"/>
        <v>Standard</v>
      </c>
    </row>
    <row r="420" spans="1:16">
      <c r="A420" s="17" t="s">
        <v>433</v>
      </c>
      <c r="B420" s="17">
        <v>70</v>
      </c>
      <c r="C420" s="17">
        <v>27</v>
      </c>
      <c r="D420" s="18">
        <v>46036.2423611111</v>
      </c>
      <c r="E420" s="17">
        <v>149</v>
      </c>
      <c r="F420" s="17" t="s">
        <v>12</v>
      </c>
      <c r="G420" s="17" t="s">
        <v>10</v>
      </c>
      <c r="H420" s="17">
        <v>47</v>
      </c>
      <c r="I420" s="17" t="str">
        <f>IFERROR(VLOOKUP(C420,Merchants!$A$2:$D$41,2,FALSE),"Merchant not found")</f>
        <v>Merchant_027</v>
      </c>
      <c r="J420" s="17" t="str">
        <f>IFERROR(VLOOKUP(C420,Merchants!$A$2:$D$41,3,FALSE),"Merchant not found")</f>
        <v>ecommerce</v>
      </c>
      <c r="K420" s="17" t="str">
        <f>IFERROR(VLOOKUP(C420,Merchants!$A$2:$D$41,4,FALSE),"Merchant not found")</f>
        <v>North</v>
      </c>
      <c r="L420" s="19">
        <f>_xlfn.IFNA(HLOOKUP(F420,'MDR Rates'!$C$1:$F$2,2,FALSE),"N/A")</f>
        <v>0</v>
      </c>
      <c r="M420" s="20">
        <f t="shared" si="18"/>
        <v>46036</v>
      </c>
      <c r="N420" s="17">
        <f t="shared" si="20"/>
        <v>149</v>
      </c>
      <c r="O420" s="17">
        <f>GETPIVOTDATA("amount_inr",'Pivot Table'!$A$3,"merchant_name",I420,"Date",M420)</f>
        <v>149</v>
      </c>
      <c r="P420" s="17" t="str">
        <f t="shared" si="19"/>
        <v>Standard</v>
      </c>
    </row>
    <row r="421" spans="1:16">
      <c r="A421" s="17" t="s">
        <v>434</v>
      </c>
      <c r="B421" s="17">
        <v>194</v>
      </c>
      <c r="C421" s="17">
        <v>25</v>
      </c>
      <c r="D421" s="18">
        <v>46051.5194444444</v>
      </c>
      <c r="E421" s="17">
        <v>49</v>
      </c>
      <c r="F421" s="17" t="s">
        <v>9</v>
      </c>
      <c r="G421" s="17" t="s">
        <v>10</v>
      </c>
      <c r="H421" s="17">
        <v>10</v>
      </c>
      <c r="I421" s="17" t="str">
        <f>IFERROR(VLOOKUP(C421,Merchants!$A$2:$D$41,2,FALSE),"Merchant not found")</f>
        <v>Merchant_025</v>
      </c>
      <c r="J421" s="17" t="str">
        <f>IFERROR(VLOOKUP(C421,Merchants!$A$2:$D$41,3,FALSE),"Merchant not found")</f>
        <v>travel</v>
      </c>
      <c r="K421" s="17" t="str">
        <f>IFERROR(VLOOKUP(C421,Merchants!$A$2:$D$41,4,FALSE),"Merchant not found")</f>
        <v>South</v>
      </c>
      <c r="L421" s="19">
        <f>_xlfn.IFNA(HLOOKUP(F421,'MDR Rates'!$C$1:$F$2,2,FALSE),"N/A")</f>
        <v>0.01</v>
      </c>
      <c r="M421" s="20">
        <f t="shared" si="18"/>
        <v>46051</v>
      </c>
      <c r="N421" s="17">
        <f t="shared" si="20"/>
        <v>3048</v>
      </c>
      <c r="O421" s="17">
        <f>GETPIVOTDATA("amount_inr",'Pivot Table'!$A$3,"merchant_name",I421,"Date",M421)</f>
        <v>3048</v>
      </c>
      <c r="P421" s="17" t="str">
        <f t="shared" si="19"/>
        <v>Standard</v>
      </c>
    </row>
    <row r="422" spans="1:16">
      <c r="A422" s="17" t="s">
        <v>435</v>
      </c>
      <c r="B422" s="17">
        <v>277</v>
      </c>
      <c r="C422" s="17">
        <v>9</v>
      </c>
      <c r="D422" s="18">
        <v>46044.9131944444</v>
      </c>
      <c r="E422" s="17">
        <v>799</v>
      </c>
      <c r="F422" s="17" t="s">
        <v>12</v>
      </c>
      <c r="G422" s="17" t="s">
        <v>10</v>
      </c>
      <c r="H422" s="17">
        <v>83</v>
      </c>
      <c r="I422" s="17" t="str">
        <f>IFERROR(VLOOKUP(C422,Merchants!$A$2:$D$41,2,FALSE),"Merchant not found")</f>
        <v>Merchant_009</v>
      </c>
      <c r="J422" s="17" t="str">
        <f>IFERROR(VLOOKUP(C422,Merchants!$A$2:$D$41,3,FALSE),"Merchant not found")</f>
        <v>ecommerce</v>
      </c>
      <c r="K422" s="17" t="str">
        <f>IFERROR(VLOOKUP(C422,Merchants!$A$2:$D$41,4,FALSE),"Merchant not found")</f>
        <v>North</v>
      </c>
      <c r="L422" s="19">
        <f>_xlfn.IFNA(HLOOKUP(F422,'MDR Rates'!$C$1:$F$2,2,FALSE),"N/A")</f>
        <v>0</v>
      </c>
      <c r="M422" s="20">
        <f t="shared" si="18"/>
        <v>46044</v>
      </c>
      <c r="N422" s="17">
        <f t="shared" si="20"/>
        <v>1298</v>
      </c>
      <c r="O422" s="17">
        <f>GETPIVOTDATA("amount_inr",'Pivot Table'!$A$3,"merchant_name",I422,"Date",M422)</f>
        <v>1298</v>
      </c>
      <c r="P422" s="17" t="str">
        <f t="shared" si="19"/>
        <v>Standard</v>
      </c>
    </row>
    <row r="423" spans="1:16">
      <c r="A423" s="17" t="s">
        <v>436</v>
      </c>
      <c r="B423" s="17">
        <v>92</v>
      </c>
      <c r="C423" s="17">
        <v>35</v>
      </c>
      <c r="D423" s="18">
        <v>46050.4631944444</v>
      </c>
      <c r="E423" s="17">
        <v>49</v>
      </c>
      <c r="F423" s="17" t="s">
        <v>12</v>
      </c>
      <c r="G423" s="17" t="s">
        <v>10</v>
      </c>
      <c r="H423" s="17">
        <v>50</v>
      </c>
      <c r="I423" s="17" t="str">
        <f>IFERROR(VLOOKUP(C423,Merchants!$A$2:$D$41,2,FALSE),"Merchant not found")</f>
        <v>Merchant_035</v>
      </c>
      <c r="J423" s="17" t="str">
        <f>IFERROR(VLOOKUP(C423,Merchants!$A$2:$D$41,3,FALSE),"Merchant not found")</f>
        <v>recharge</v>
      </c>
      <c r="K423" s="17" t="str">
        <f>IFERROR(VLOOKUP(C423,Merchants!$A$2:$D$41,4,FALSE),"Merchant not found")</f>
        <v>East</v>
      </c>
      <c r="L423" s="19">
        <f>_xlfn.IFNA(HLOOKUP(F423,'MDR Rates'!$C$1:$F$2,2,FALSE),"N/A")</f>
        <v>0</v>
      </c>
      <c r="M423" s="20">
        <f t="shared" si="18"/>
        <v>46050</v>
      </c>
      <c r="N423" s="17">
        <f t="shared" si="20"/>
        <v>49</v>
      </c>
      <c r="O423" s="17">
        <f>GETPIVOTDATA("amount_inr",'Pivot Table'!$A$3,"merchant_name",I423,"Date",M423)</f>
        <v>49</v>
      </c>
      <c r="P423" s="17" t="str">
        <f t="shared" si="19"/>
        <v>Standard</v>
      </c>
    </row>
    <row r="424" spans="1:16">
      <c r="A424" s="17" t="s">
        <v>437</v>
      </c>
      <c r="B424" s="17">
        <v>115</v>
      </c>
      <c r="C424" s="17">
        <v>1</v>
      </c>
      <c r="D424" s="18">
        <v>46039.1986111111</v>
      </c>
      <c r="E424" s="17">
        <v>149</v>
      </c>
      <c r="F424" s="17" t="s">
        <v>9</v>
      </c>
      <c r="G424" s="17" t="s">
        <v>10</v>
      </c>
      <c r="H424" s="17">
        <v>96</v>
      </c>
      <c r="I424" s="17" t="str">
        <f>IFERROR(VLOOKUP(C424,Merchants!$A$2:$D$41,2,FALSE),"Merchant not found")</f>
        <v>Merchant_001</v>
      </c>
      <c r="J424" s="17" t="str">
        <f>IFERROR(VLOOKUP(C424,Merchants!$A$2:$D$41,3,FALSE),"Merchant not found")</f>
        <v>ecommerce</v>
      </c>
      <c r="K424" s="17" t="str">
        <f>IFERROR(VLOOKUP(C424,Merchants!$A$2:$D$41,4,FALSE),"Merchant not found")</f>
        <v>South</v>
      </c>
      <c r="L424" s="19">
        <f>_xlfn.IFNA(HLOOKUP(F424,'MDR Rates'!$C$1:$F$2,2,FALSE),"N/A")</f>
        <v>0.01</v>
      </c>
      <c r="M424" s="20">
        <f t="shared" si="18"/>
        <v>46039</v>
      </c>
      <c r="N424" s="17">
        <f t="shared" si="20"/>
        <v>149</v>
      </c>
      <c r="O424" s="17">
        <f>GETPIVOTDATA("amount_inr",'Pivot Table'!$A$3,"merchant_name",I424,"Date",M424)</f>
        <v>149</v>
      </c>
      <c r="P424" s="17" t="str">
        <f t="shared" si="19"/>
        <v>Standard</v>
      </c>
    </row>
    <row r="425" spans="1:16">
      <c r="A425" s="17" t="s">
        <v>438</v>
      </c>
      <c r="B425" s="17">
        <v>345</v>
      </c>
      <c r="C425" s="17">
        <v>35</v>
      </c>
      <c r="D425" s="18">
        <v>46023.3951388889</v>
      </c>
      <c r="E425" s="17">
        <v>499</v>
      </c>
      <c r="F425" s="17" t="s">
        <v>24</v>
      </c>
      <c r="G425" s="17" t="s">
        <v>10</v>
      </c>
      <c r="H425" s="17">
        <v>54</v>
      </c>
      <c r="I425" s="17" t="str">
        <f>IFERROR(VLOOKUP(C425,Merchants!$A$2:$D$41,2,FALSE),"Merchant not found")</f>
        <v>Merchant_035</v>
      </c>
      <c r="J425" s="17" t="str">
        <f>IFERROR(VLOOKUP(C425,Merchants!$A$2:$D$41,3,FALSE),"Merchant not found")</f>
        <v>recharge</v>
      </c>
      <c r="K425" s="17" t="str">
        <f>IFERROR(VLOOKUP(C425,Merchants!$A$2:$D$41,4,FALSE),"Merchant not found")</f>
        <v>East</v>
      </c>
      <c r="L425" s="19">
        <f>_xlfn.IFNA(HLOOKUP(F425,'MDR Rates'!$C$1:$F$2,2,FALSE),"N/A")</f>
        <v>0.02</v>
      </c>
      <c r="M425" s="20">
        <f t="shared" si="18"/>
        <v>46023</v>
      </c>
      <c r="N425" s="17">
        <f t="shared" si="20"/>
        <v>798</v>
      </c>
      <c r="O425" s="17">
        <f>GETPIVOTDATA("amount_inr",'Pivot Table'!$A$3,"merchant_name",I425,"Date",M425)</f>
        <v>798</v>
      </c>
      <c r="P425" s="17" t="str">
        <f t="shared" si="19"/>
        <v>Standard</v>
      </c>
    </row>
    <row r="426" spans="1:16">
      <c r="A426" s="17" t="s">
        <v>439</v>
      </c>
      <c r="B426" s="17">
        <v>118</v>
      </c>
      <c r="C426" s="17">
        <v>16</v>
      </c>
      <c r="D426" s="18">
        <v>46040.5361111111</v>
      </c>
      <c r="E426" s="17">
        <v>49</v>
      </c>
      <c r="F426" s="17" t="s">
        <v>12</v>
      </c>
      <c r="G426" s="17" t="s">
        <v>10</v>
      </c>
      <c r="H426" s="17">
        <v>58</v>
      </c>
      <c r="I426" s="17" t="str">
        <f>IFERROR(VLOOKUP(C426,Merchants!$A$2:$D$41,2,FALSE),"Merchant not found")</f>
        <v>Merchant_016</v>
      </c>
      <c r="J426" s="17" t="str">
        <f>IFERROR(VLOOKUP(C426,Merchants!$A$2:$D$41,3,FALSE),"Merchant not found")</f>
        <v>bill_payment</v>
      </c>
      <c r="K426" s="17" t="str">
        <f>IFERROR(VLOOKUP(C426,Merchants!$A$2:$D$41,4,FALSE),"Merchant not found")</f>
        <v>West</v>
      </c>
      <c r="L426" s="19">
        <f>_xlfn.IFNA(HLOOKUP(F426,'MDR Rates'!$C$1:$F$2,2,FALSE),"N/A")</f>
        <v>0</v>
      </c>
      <c r="M426" s="20">
        <f t="shared" si="18"/>
        <v>46040</v>
      </c>
      <c r="N426" s="17">
        <f t="shared" si="20"/>
        <v>49</v>
      </c>
      <c r="O426" s="17">
        <f>GETPIVOTDATA("amount_inr",'Pivot Table'!$A$3,"merchant_name",I426,"Date",M426)</f>
        <v>49</v>
      </c>
      <c r="P426" s="17" t="str">
        <f t="shared" si="19"/>
        <v>Standard</v>
      </c>
    </row>
    <row r="427" spans="1:16">
      <c r="A427" s="17" t="s">
        <v>440</v>
      </c>
      <c r="B427" s="17">
        <v>97</v>
      </c>
      <c r="C427" s="17">
        <v>8</v>
      </c>
      <c r="D427" s="18">
        <v>46034.1784722222</v>
      </c>
      <c r="E427" s="17">
        <v>99</v>
      </c>
      <c r="F427" s="17" t="s">
        <v>15</v>
      </c>
      <c r="G427" s="17" t="s">
        <v>10</v>
      </c>
      <c r="H427" s="17">
        <v>4</v>
      </c>
      <c r="I427" s="17" t="str">
        <f>IFERROR(VLOOKUP(C427,Merchants!$A$2:$D$41,2,FALSE),"Merchant not found")</f>
        <v>Merchant_008</v>
      </c>
      <c r="J427" s="17" t="str">
        <f>IFERROR(VLOOKUP(C427,Merchants!$A$2:$D$41,3,FALSE),"Merchant not found")</f>
        <v>food_delivery</v>
      </c>
      <c r="K427" s="17" t="str">
        <f>IFERROR(VLOOKUP(C427,Merchants!$A$2:$D$41,4,FALSE),"Merchant not found")</f>
        <v>North</v>
      </c>
      <c r="L427" s="19">
        <f>_xlfn.IFNA(HLOOKUP(F427,'MDR Rates'!$C$1:$F$2,2,FALSE),"N/A")</f>
        <v>0.015</v>
      </c>
      <c r="M427" s="20">
        <f t="shared" si="18"/>
        <v>46034</v>
      </c>
      <c r="N427" s="17">
        <f t="shared" si="20"/>
        <v>398</v>
      </c>
      <c r="O427" s="17">
        <f>GETPIVOTDATA("amount_inr",'Pivot Table'!$A$3,"merchant_name",I427,"Date",M427)</f>
        <v>398</v>
      </c>
      <c r="P427" s="17" t="str">
        <f t="shared" si="19"/>
        <v>Standard</v>
      </c>
    </row>
    <row r="428" spans="1:16">
      <c r="A428" s="17" t="s">
        <v>441</v>
      </c>
      <c r="B428" s="17">
        <v>315</v>
      </c>
      <c r="C428" s="17">
        <v>2</v>
      </c>
      <c r="D428" s="18">
        <v>46048.8930555556</v>
      </c>
      <c r="E428" s="17">
        <v>299</v>
      </c>
      <c r="F428" s="17" t="s">
        <v>9</v>
      </c>
      <c r="G428" s="17" t="s">
        <v>10</v>
      </c>
      <c r="H428" s="17">
        <v>30</v>
      </c>
      <c r="I428" s="17" t="str">
        <f>IFERROR(VLOOKUP(C428,Merchants!$A$2:$D$41,2,FALSE),"Merchant not found")</f>
        <v>Merchant_002</v>
      </c>
      <c r="J428" s="17" t="str">
        <f>IFERROR(VLOOKUP(C428,Merchants!$A$2:$D$41,3,FALSE),"Merchant not found")</f>
        <v>grocery</v>
      </c>
      <c r="K428" s="17" t="str">
        <f>IFERROR(VLOOKUP(C428,Merchants!$A$2:$D$41,4,FALSE),"Merchant not found")</f>
        <v>West</v>
      </c>
      <c r="L428" s="19">
        <f>_xlfn.IFNA(HLOOKUP(F428,'MDR Rates'!$C$1:$F$2,2,FALSE),"N/A")</f>
        <v>0.01</v>
      </c>
      <c r="M428" s="20">
        <f t="shared" si="18"/>
        <v>46048</v>
      </c>
      <c r="N428" s="17">
        <f t="shared" si="20"/>
        <v>299</v>
      </c>
      <c r="O428" s="17">
        <f>GETPIVOTDATA("amount_inr",'Pivot Table'!$A$3,"merchant_name",I428,"Date",M428)</f>
        <v>299</v>
      </c>
      <c r="P428" s="17" t="str">
        <f t="shared" si="19"/>
        <v>Standard</v>
      </c>
    </row>
    <row r="429" spans="1:16">
      <c r="A429" s="17" t="s">
        <v>442</v>
      </c>
      <c r="B429" s="17">
        <v>305</v>
      </c>
      <c r="C429" s="17">
        <v>3</v>
      </c>
      <c r="D429" s="18">
        <v>46029.0875</v>
      </c>
      <c r="E429" s="17">
        <v>299</v>
      </c>
      <c r="F429" s="17" t="s">
        <v>12</v>
      </c>
      <c r="G429" s="17" t="s">
        <v>10</v>
      </c>
      <c r="H429" s="17">
        <v>57</v>
      </c>
      <c r="I429" s="17" t="str">
        <f>IFERROR(VLOOKUP(C429,Merchants!$A$2:$D$41,2,FALSE),"Merchant not found")</f>
        <v>Merchant_003</v>
      </c>
      <c r="J429" s="17" t="str">
        <f>IFERROR(VLOOKUP(C429,Merchants!$A$2:$D$41,3,FALSE),"Merchant not found")</f>
        <v>grocery</v>
      </c>
      <c r="K429" s="17" t="str">
        <f>IFERROR(VLOOKUP(C429,Merchants!$A$2:$D$41,4,FALSE),"Merchant not found")</f>
        <v>East</v>
      </c>
      <c r="L429" s="19">
        <f>_xlfn.IFNA(HLOOKUP(F429,'MDR Rates'!$C$1:$F$2,2,FALSE),"N/A")</f>
        <v>0</v>
      </c>
      <c r="M429" s="20">
        <f t="shared" si="18"/>
        <v>46029</v>
      </c>
      <c r="N429" s="17">
        <f t="shared" si="20"/>
        <v>798</v>
      </c>
      <c r="O429" s="17">
        <f>GETPIVOTDATA("amount_inr",'Pivot Table'!$A$3,"merchant_name",I429,"Date",M429)</f>
        <v>798</v>
      </c>
      <c r="P429" s="17" t="str">
        <f t="shared" si="19"/>
        <v>Standard</v>
      </c>
    </row>
    <row r="430" spans="1:16">
      <c r="A430" s="17" t="s">
        <v>443</v>
      </c>
      <c r="B430" s="17">
        <v>25</v>
      </c>
      <c r="C430" s="17">
        <v>16</v>
      </c>
      <c r="D430" s="18">
        <v>46042.90625</v>
      </c>
      <c r="E430" s="17">
        <v>299</v>
      </c>
      <c r="F430" s="17" t="s">
        <v>12</v>
      </c>
      <c r="G430" s="17" t="s">
        <v>10</v>
      </c>
      <c r="H430" s="17">
        <v>94</v>
      </c>
      <c r="I430" s="17" t="str">
        <f>IFERROR(VLOOKUP(C430,Merchants!$A$2:$D$41,2,FALSE),"Merchant not found")</f>
        <v>Merchant_016</v>
      </c>
      <c r="J430" s="17" t="str">
        <f>IFERROR(VLOOKUP(C430,Merchants!$A$2:$D$41,3,FALSE),"Merchant not found")</f>
        <v>bill_payment</v>
      </c>
      <c r="K430" s="17" t="str">
        <f>IFERROR(VLOOKUP(C430,Merchants!$A$2:$D$41,4,FALSE),"Merchant not found")</f>
        <v>West</v>
      </c>
      <c r="L430" s="19">
        <f>_xlfn.IFNA(HLOOKUP(F430,'MDR Rates'!$C$1:$F$2,2,FALSE),"N/A")</f>
        <v>0</v>
      </c>
      <c r="M430" s="20">
        <f t="shared" si="18"/>
        <v>46042</v>
      </c>
      <c r="N430" s="17">
        <f t="shared" si="20"/>
        <v>448</v>
      </c>
      <c r="O430" s="17">
        <f>GETPIVOTDATA("amount_inr",'Pivot Table'!$A$3,"merchant_name",I430,"Date",M430)</f>
        <v>448</v>
      </c>
      <c r="P430" s="17" t="str">
        <f t="shared" si="19"/>
        <v>Standard</v>
      </c>
    </row>
    <row r="431" spans="1:16">
      <c r="A431" s="17" t="s">
        <v>444</v>
      </c>
      <c r="B431" s="17">
        <v>120</v>
      </c>
      <c r="C431" s="17">
        <v>35</v>
      </c>
      <c r="D431" s="18">
        <v>46024.5194444444</v>
      </c>
      <c r="E431" s="17">
        <v>49</v>
      </c>
      <c r="F431" s="17" t="s">
        <v>12</v>
      </c>
      <c r="G431" s="17" t="s">
        <v>10</v>
      </c>
      <c r="H431" s="17">
        <v>27</v>
      </c>
      <c r="I431" s="17" t="str">
        <f>IFERROR(VLOOKUP(C431,Merchants!$A$2:$D$41,2,FALSE),"Merchant not found")</f>
        <v>Merchant_035</v>
      </c>
      <c r="J431" s="17" t="str">
        <f>IFERROR(VLOOKUP(C431,Merchants!$A$2:$D$41,3,FALSE),"Merchant not found")</f>
        <v>recharge</v>
      </c>
      <c r="K431" s="17" t="str">
        <f>IFERROR(VLOOKUP(C431,Merchants!$A$2:$D$41,4,FALSE),"Merchant not found")</f>
        <v>East</v>
      </c>
      <c r="L431" s="19">
        <f>_xlfn.IFNA(HLOOKUP(F431,'MDR Rates'!$C$1:$F$2,2,FALSE),"N/A")</f>
        <v>0</v>
      </c>
      <c r="M431" s="20">
        <f t="shared" si="18"/>
        <v>46024</v>
      </c>
      <c r="N431" s="17">
        <f t="shared" si="20"/>
        <v>1847</v>
      </c>
      <c r="O431" s="17">
        <f>GETPIVOTDATA("amount_inr",'Pivot Table'!$A$3,"merchant_name",I431,"Date",M431)</f>
        <v>1847</v>
      </c>
      <c r="P431" s="17" t="str">
        <f t="shared" si="19"/>
        <v>Standard</v>
      </c>
    </row>
    <row r="432" spans="1:16">
      <c r="A432" s="17" t="s">
        <v>445</v>
      </c>
      <c r="B432" s="17">
        <v>258</v>
      </c>
      <c r="C432" s="17">
        <v>19</v>
      </c>
      <c r="D432" s="18">
        <v>46047.0472222222</v>
      </c>
      <c r="E432" s="17">
        <v>49</v>
      </c>
      <c r="F432" s="17" t="s">
        <v>9</v>
      </c>
      <c r="G432" s="17" t="s">
        <v>10</v>
      </c>
      <c r="H432" s="17">
        <v>29</v>
      </c>
      <c r="I432" s="17" t="str">
        <f>IFERROR(VLOOKUP(C432,Merchants!$A$2:$D$41,2,FALSE),"Merchant not found")</f>
        <v>Merchant_019</v>
      </c>
      <c r="J432" s="17" t="str">
        <f>IFERROR(VLOOKUP(C432,Merchants!$A$2:$D$41,3,FALSE),"Merchant not found")</f>
        <v>grocery</v>
      </c>
      <c r="K432" s="17" t="str">
        <f>IFERROR(VLOOKUP(C432,Merchants!$A$2:$D$41,4,FALSE),"Merchant not found")</f>
        <v>North</v>
      </c>
      <c r="L432" s="19">
        <f>_xlfn.IFNA(HLOOKUP(F432,'MDR Rates'!$C$1:$F$2,2,FALSE),"N/A")</f>
        <v>0.01</v>
      </c>
      <c r="M432" s="20">
        <f t="shared" si="18"/>
        <v>46047</v>
      </c>
      <c r="N432" s="17">
        <f t="shared" si="20"/>
        <v>49</v>
      </c>
      <c r="O432" s="17">
        <f>GETPIVOTDATA("amount_inr",'Pivot Table'!$A$3,"merchant_name",I432,"Date",M432)</f>
        <v>49</v>
      </c>
      <c r="P432" s="17" t="str">
        <f t="shared" si="19"/>
        <v>Standard</v>
      </c>
    </row>
    <row r="433" spans="1:16">
      <c r="A433" s="17" t="s">
        <v>446</v>
      </c>
      <c r="B433" s="17">
        <v>164</v>
      </c>
      <c r="C433" s="17">
        <v>37</v>
      </c>
      <c r="D433" s="18">
        <v>46049.9833333333</v>
      </c>
      <c r="E433" s="17">
        <v>799</v>
      </c>
      <c r="F433" s="17" t="s">
        <v>12</v>
      </c>
      <c r="G433" s="17" t="s">
        <v>10</v>
      </c>
      <c r="H433" s="17">
        <v>76</v>
      </c>
      <c r="I433" s="17" t="str">
        <f>IFERROR(VLOOKUP(C433,Merchants!$A$2:$D$41,2,FALSE),"Merchant not found")</f>
        <v>Merchant_037</v>
      </c>
      <c r="J433" s="17" t="str">
        <f>IFERROR(VLOOKUP(C433,Merchants!$A$2:$D$41,3,FALSE),"Merchant not found")</f>
        <v>entertainment</v>
      </c>
      <c r="K433" s="17" t="str">
        <f>IFERROR(VLOOKUP(C433,Merchants!$A$2:$D$41,4,FALSE),"Merchant not found")</f>
        <v>South</v>
      </c>
      <c r="L433" s="19">
        <f>_xlfn.IFNA(HLOOKUP(F433,'MDR Rates'!$C$1:$F$2,2,FALSE),"N/A")</f>
        <v>0</v>
      </c>
      <c r="M433" s="20">
        <f t="shared" si="18"/>
        <v>46049</v>
      </c>
      <c r="N433" s="17">
        <f t="shared" si="20"/>
        <v>799</v>
      </c>
      <c r="O433" s="17">
        <f>GETPIVOTDATA("amount_inr",'Pivot Table'!$A$3,"merchant_name",I433,"Date",M433)</f>
        <v>799</v>
      </c>
      <c r="P433" s="17" t="str">
        <f t="shared" si="19"/>
        <v>Standard</v>
      </c>
    </row>
    <row r="434" spans="1:16">
      <c r="A434" s="17" t="s">
        <v>447</v>
      </c>
      <c r="B434" s="17">
        <v>165</v>
      </c>
      <c r="C434" s="17">
        <v>16</v>
      </c>
      <c r="D434" s="18">
        <v>46047.9111111111</v>
      </c>
      <c r="E434" s="17">
        <v>49</v>
      </c>
      <c r="F434" s="17" t="s">
        <v>9</v>
      </c>
      <c r="G434" s="17" t="s">
        <v>10</v>
      </c>
      <c r="H434" s="17">
        <v>38</v>
      </c>
      <c r="I434" s="17" t="str">
        <f>IFERROR(VLOOKUP(C434,Merchants!$A$2:$D$41,2,FALSE),"Merchant not found")</f>
        <v>Merchant_016</v>
      </c>
      <c r="J434" s="17" t="str">
        <f>IFERROR(VLOOKUP(C434,Merchants!$A$2:$D$41,3,FALSE),"Merchant not found")</f>
        <v>bill_payment</v>
      </c>
      <c r="K434" s="17" t="str">
        <f>IFERROR(VLOOKUP(C434,Merchants!$A$2:$D$41,4,FALSE),"Merchant not found")</f>
        <v>West</v>
      </c>
      <c r="L434" s="19">
        <f>_xlfn.IFNA(HLOOKUP(F434,'MDR Rates'!$C$1:$F$2,2,FALSE),"N/A")</f>
        <v>0.01</v>
      </c>
      <c r="M434" s="20">
        <f t="shared" si="18"/>
        <v>46047</v>
      </c>
      <c r="N434" s="17">
        <f t="shared" si="20"/>
        <v>98</v>
      </c>
      <c r="O434" s="17">
        <f>GETPIVOTDATA("amount_inr",'Pivot Table'!$A$3,"merchant_name",I434,"Date",M434)</f>
        <v>98</v>
      </c>
      <c r="P434" s="17" t="str">
        <f t="shared" si="19"/>
        <v>Standard</v>
      </c>
    </row>
    <row r="435" spans="1:16">
      <c r="A435" s="17" t="s">
        <v>448</v>
      </c>
      <c r="B435" s="17">
        <v>267</v>
      </c>
      <c r="C435" s="17">
        <v>15</v>
      </c>
      <c r="D435" s="18">
        <v>46051.1958333333</v>
      </c>
      <c r="E435" s="17">
        <v>49</v>
      </c>
      <c r="F435" s="17" t="s">
        <v>15</v>
      </c>
      <c r="G435" s="17" t="s">
        <v>10</v>
      </c>
      <c r="H435" s="17">
        <v>52</v>
      </c>
      <c r="I435" s="17" t="str">
        <f>IFERROR(VLOOKUP(C435,Merchants!$A$2:$D$41,2,FALSE),"Merchant not found")</f>
        <v>Merchant_015</v>
      </c>
      <c r="J435" s="17" t="str">
        <f>IFERROR(VLOOKUP(C435,Merchants!$A$2:$D$41,3,FALSE),"Merchant not found")</f>
        <v>travel</v>
      </c>
      <c r="K435" s="17" t="str">
        <f>IFERROR(VLOOKUP(C435,Merchants!$A$2:$D$41,4,FALSE),"Merchant not found")</f>
        <v>North</v>
      </c>
      <c r="L435" s="19">
        <f>_xlfn.IFNA(HLOOKUP(F435,'MDR Rates'!$C$1:$F$2,2,FALSE),"N/A")</f>
        <v>0.015</v>
      </c>
      <c r="M435" s="20">
        <f t="shared" si="18"/>
        <v>46051</v>
      </c>
      <c r="N435" s="17">
        <f t="shared" si="20"/>
        <v>98</v>
      </c>
      <c r="O435" s="17">
        <f>GETPIVOTDATA("amount_inr",'Pivot Table'!$A$3,"merchant_name",I435,"Date",M435)</f>
        <v>98</v>
      </c>
      <c r="P435" s="17" t="str">
        <f t="shared" si="19"/>
        <v>Standard</v>
      </c>
    </row>
    <row r="436" spans="1:16">
      <c r="A436" s="17" t="s">
        <v>449</v>
      </c>
      <c r="B436" s="17">
        <v>286</v>
      </c>
      <c r="C436" s="17">
        <v>38</v>
      </c>
      <c r="D436" s="18">
        <v>46032.3354166667</v>
      </c>
      <c r="E436" s="17">
        <v>299</v>
      </c>
      <c r="F436" s="17" t="s">
        <v>9</v>
      </c>
      <c r="G436" s="17" t="s">
        <v>10</v>
      </c>
      <c r="H436" s="17">
        <v>94</v>
      </c>
      <c r="I436" s="17" t="str">
        <f>IFERROR(VLOOKUP(C436,Merchants!$A$2:$D$41,2,FALSE),"Merchant not found")</f>
        <v>Merchant_038</v>
      </c>
      <c r="J436" s="17" t="str">
        <f>IFERROR(VLOOKUP(C436,Merchants!$A$2:$D$41,3,FALSE),"Merchant not found")</f>
        <v>grocery</v>
      </c>
      <c r="K436" s="17" t="str">
        <f>IFERROR(VLOOKUP(C436,Merchants!$A$2:$D$41,4,FALSE),"Merchant not found")</f>
        <v>East</v>
      </c>
      <c r="L436" s="19">
        <f>_xlfn.IFNA(HLOOKUP(F436,'MDR Rates'!$C$1:$F$2,2,FALSE),"N/A")</f>
        <v>0.01</v>
      </c>
      <c r="M436" s="20">
        <f t="shared" si="18"/>
        <v>46032</v>
      </c>
      <c r="N436" s="17">
        <f t="shared" si="20"/>
        <v>398</v>
      </c>
      <c r="O436" s="17">
        <f>GETPIVOTDATA("amount_inr",'Pivot Table'!$A$3,"merchant_name",I436,"Date",M436)</f>
        <v>398</v>
      </c>
      <c r="P436" s="17" t="str">
        <f t="shared" si="19"/>
        <v>Standard</v>
      </c>
    </row>
    <row r="437" spans="1:16">
      <c r="A437" s="17" t="s">
        <v>450</v>
      </c>
      <c r="B437" s="17">
        <v>348</v>
      </c>
      <c r="C437" s="17">
        <v>28</v>
      </c>
      <c r="D437" s="18">
        <v>46052.2361111111</v>
      </c>
      <c r="E437" s="17">
        <v>499</v>
      </c>
      <c r="F437" s="17" t="s">
        <v>24</v>
      </c>
      <c r="G437" s="17" t="s">
        <v>10</v>
      </c>
      <c r="H437" s="17">
        <v>71</v>
      </c>
      <c r="I437" s="17" t="str">
        <f>IFERROR(VLOOKUP(C437,Merchants!$A$2:$D$41,2,FALSE),"Merchant not found")</f>
        <v>Merchant_028</v>
      </c>
      <c r="J437" s="17" t="str">
        <f>IFERROR(VLOOKUP(C437,Merchants!$A$2:$D$41,3,FALSE),"Merchant not found")</f>
        <v>ecommerce</v>
      </c>
      <c r="K437" s="17" t="str">
        <f>IFERROR(VLOOKUP(C437,Merchants!$A$2:$D$41,4,FALSE),"Merchant not found")</f>
        <v>South</v>
      </c>
      <c r="L437" s="19">
        <f>_xlfn.IFNA(HLOOKUP(F437,'MDR Rates'!$C$1:$F$2,2,FALSE),"N/A")</f>
        <v>0.02</v>
      </c>
      <c r="M437" s="20">
        <f t="shared" si="18"/>
        <v>46052</v>
      </c>
      <c r="N437" s="17">
        <f t="shared" si="20"/>
        <v>499</v>
      </c>
      <c r="O437" s="17">
        <f>GETPIVOTDATA("amount_inr",'Pivot Table'!$A$3,"merchant_name",I437,"Date",M437)</f>
        <v>499</v>
      </c>
      <c r="P437" s="17" t="str">
        <f t="shared" si="19"/>
        <v>Standard</v>
      </c>
    </row>
    <row r="438" spans="1:16">
      <c r="A438" s="17" t="s">
        <v>451</v>
      </c>
      <c r="B438" s="17">
        <v>330</v>
      </c>
      <c r="C438" s="17">
        <v>25</v>
      </c>
      <c r="D438" s="18">
        <v>46038.0569444444</v>
      </c>
      <c r="E438" s="17">
        <v>799</v>
      </c>
      <c r="F438" s="17" t="s">
        <v>12</v>
      </c>
      <c r="G438" s="17" t="s">
        <v>10</v>
      </c>
      <c r="H438" s="17">
        <v>100</v>
      </c>
      <c r="I438" s="17" t="str">
        <f>IFERROR(VLOOKUP(C438,Merchants!$A$2:$D$41,2,FALSE),"Merchant not found")</f>
        <v>Merchant_025</v>
      </c>
      <c r="J438" s="17" t="str">
        <f>IFERROR(VLOOKUP(C438,Merchants!$A$2:$D$41,3,FALSE),"Merchant not found")</f>
        <v>travel</v>
      </c>
      <c r="K438" s="17" t="str">
        <f>IFERROR(VLOOKUP(C438,Merchants!$A$2:$D$41,4,FALSE),"Merchant not found")</f>
        <v>South</v>
      </c>
      <c r="L438" s="19">
        <f>_xlfn.IFNA(HLOOKUP(F438,'MDR Rates'!$C$1:$F$2,2,FALSE),"N/A")</f>
        <v>0</v>
      </c>
      <c r="M438" s="20">
        <f t="shared" si="18"/>
        <v>46038</v>
      </c>
      <c r="N438" s="17">
        <f t="shared" si="20"/>
        <v>799</v>
      </c>
      <c r="O438" s="17">
        <f>GETPIVOTDATA("amount_inr",'Pivot Table'!$A$3,"merchant_name",I438,"Date",M438)</f>
        <v>799</v>
      </c>
      <c r="P438" s="17" t="str">
        <f t="shared" si="19"/>
        <v>Standard</v>
      </c>
    </row>
    <row r="439" spans="1:16">
      <c r="A439" s="17" t="s">
        <v>452</v>
      </c>
      <c r="B439" s="17">
        <v>214</v>
      </c>
      <c r="C439" s="17">
        <v>27</v>
      </c>
      <c r="D439" s="18">
        <v>46039.4472222222</v>
      </c>
      <c r="E439" s="17">
        <v>299</v>
      </c>
      <c r="F439" s="17" t="s">
        <v>24</v>
      </c>
      <c r="G439" s="17" t="s">
        <v>10</v>
      </c>
      <c r="H439" s="17">
        <v>19</v>
      </c>
      <c r="I439" s="17" t="str">
        <f>IFERROR(VLOOKUP(C439,Merchants!$A$2:$D$41,2,FALSE),"Merchant not found")</f>
        <v>Merchant_027</v>
      </c>
      <c r="J439" s="17" t="str">
        <f>IFERROR(VLOOKUP(C439,Merchants!$A$2:$D$41,3,FALSE),"Merchant not found")</f>
        <v>ecommerce</v>
      </c>
      <c r="K439" s="17" t="str">
        <f>IFERROR(VLOOKUP(C439,Merchants!$A$2:$D$41,4,FALSE),"Merchant not found")</f>
        <v>North</v>
      </c>
      <c r="L439" s="19">
        <f>_xlfn.IFNA(HLOOKUP(F439,'MDR Rates'!$C$1:$F$2,2,FALSE),"N/A")</f>
        <v>0.02</v>
      </c>
      <c r="M439" s="20">
        <f t="shared" si="18"/>
        <v>46039</v>
      </c>
      <c r="N439" s="17">
        <f t="shared" si="20"/>
        <v>1597</v>
      </c>
      <c r="O439" s="17">
        <f>GETPIVOTDATA("amount_inr",'Pivot Table'!$A$3,"merchant_name",I439,"Date",M439)</f>
        <v>1597</v>
      </c>
      <c r="P439" s="17" t="str">
        <f t="shared" si="19"/>
        <v>Standard</v>
      </c>
    </row>
    <row r="440" spans="1:16">
      <c r="A440" s="17" t="s">
        <v>453</v>
      </c>
      <c r="B440" s="17">
        <v>276</v>
      </c>
      <c r="C440" s="17">
        <v>31</v>
      </c>
      <c r="D440" s="18">
        <v>46032.5076388889</v>
      </c>
      <c r="E440" s="17">
        <v>499</v>
      </c>
      <c r="F440" s="17" t="s">
        <v>12</v>
      </c>
      <c r="G440" s="17" t="s">
        <v>10</v>
      </c>
      <c r="H440" s="17">
        <v>30</v>
      </c>
      <c r="I440" s="17" t="str">
        <f>IFERROR(VLOOKUP(C440,Merchants!$A$2:$D$41,2,FALSE),"Merchant not found")</f>
        <v>Merchant_031</v>
      </c>
      <c r="J440" s="17" t="str">
        <f>IFERROR(VLOOKUP(C440,Merchants!$A$2:$D$41,3,FALSE),"Merchant not found")</f>
        <v>bill_payment</v>
      </c>
      <c r="K440" s="17" t="str">
        <f>IFERROR(VLOOKUP(C440,Merchants!$A$2:$D$41,4,FALSE),"Merchant not found")</f>
        <v>East</v>
      </c>
      <c r="L440" s="19">
        <f>_xlfn.IFNA(HLOOKUP(F440,'MDR Rates'!$C$1:$F$2,2,FALSE),"N/A")</f>
        <v>0</v>
      </c>
      <c r="M440" s="20">
        <f t="shared" si="18"/>
        <v>46032</v>
      </c>
      <c r="N440" s="17">
        <f t="shared" si="20"/>
        <v>499</v>
      </c>
      <c r="O440" s="17">
        <f>GETPIVOTDATA("amount_inr",'Pivot Table'!$A$3,"merchant_name",I440,"Date",M440)</f>
        <v>499</v>
      </c>
      <c r="P440" s="17" t="str">
        <f t="shared" si="19"/>
        <v>Standard</v>
      </c>
    </row>
    <row r="441" spans="1:16">
      <c r="A441" s="17" t="s">
        <v>454</v>
      </c>
      <c r="B441" s="17">
        <v>74</v>
      </c>
      <c r="C441" s="17">
        <v>30</v>
      </c>
      <c r="D441" s="18">
        <v>46050.3048611111</v>
      </c>
      <c r="E441" s="17">
        <v>49</v>
      </c>
      <c r="F441" s="17" t="s">
        <v>12</v>
      </c>
      <c r="G441" s="17" t="s">
        <v>10</v>
      </c>
      <c r="H441" s="17">
        <v>7</v>
      </c>
      <c r="I441" s="17" t="str">
        <f>IFERROR(VLOOKUP(C441,Merchants!$A$2:$D$41,2,FALSE),"Merchant not found")</f>
        <v>Merchant_030</v>
      </c>
      <c r="J441" s="17" t="str">
        <f>IFERROR(VLOOKUP(C441,Merchants!$A$2:$D$41,3,FALSE),"Merchant not found")</f>
        <v>travel</v>
      </c>
      <c r="K441" s="17" t="str">
        <f>IFERROR(VLOOKUP(C441,Merchants!$A$2:$D$41,4,FALSE),"Merchant not found")</f>
        <v>West</v>
      </c>
      <c r="L441" s="19">
        <f>_xlfn.IFNA(HLOOKUP(F441,'MDR Rates'!$C$1:$F$2,2,FALSE),"N/A")</f>
        <v>0</v>
      </c>
      <c r="M441" s="20">
        <f t="shared" si="18"/>
        <v>46050</v>
      </c>
      <c r="N441" s="17">
        <f t="shared" si="20"/>
        <v>49</v>
      </c>
      <c r="O441" s="17">
        <f>GETPIVOTDATA("amount_inr",'Pivot Table'!$A$3,"merchant_name",I441,"Date",M441)</f>
        <v>49</v>
      </c>
      <c r="P441" s="17" t="str">
        <f t="shared" si="19"/>
        <v>Standard</v>
      </c>
    </row>
    <row r="442" spans="1:16">
      <c r="A442" s="17" t="s">
        <v>455</v>
      </c>
      <c r="B442" s="17">
        <v>286</v>
      </c>
      <c r="C442" s="17">
        <v>34</v>
      </c>
      <c r="D442" s="18">
        <v>46040.5597222222</v>
      </c>
      <c r="E442" s="17">
        <v>49</v>
      </c>
      <c r="F442" s="17" t="s">
        <v>24</v>
      </c>
      <c r="G442" s="17" t="s">
        <v>10</v>
      </c>
      <c r="H442" s="17">
        <v>17</v>
      </c>
      <c r="I442" s="17" t="str">
        <f>IFERROR(VLOOKUP(C442,Merchants!$A$2:$D$41,2,FALSE),"Merchant not found")</f>
        <v>Merchant_034</v>
      </c>
      <c r="J442" s="17" t="str">
        <f>IFERROR(VLOOKUP(C442,Merchants!$A$2:$D$41,3,FALSE),"Merchant not found")</f>
        <v>travel</v>
      </c>
      <c r="K442" s="17" t="str">
        <f>IFERROR(VLOOKUP(C442,Merchants!$A$2:$D$41,4,FALSE),"Merchant not found")</f>
        <v>South</v>
      </c>
      <c r="L442" s="19">
        <f>_xlfn.IFNA(HLOOKUP(F442,'MDR Rates'!$C$1:$F$2,2,FALSE),"N/A")</f>
        <v>0.02</v>
      </c>
      <c r="M442" s="20">
        <f t="shared" si="18"/>
        <v>46040</v>
      </c>
      <c r="N442" s="17">
        <f t="shared" si="20"/>
        <v>148</v>
      </c>
      <c r="O442" s="17">
        <f>GETPIVOTDATA("amount_inr",'Pivot Table'!$A$3,"merchant_name",I442,"Date",M442)</f>
        <v>148</v>
      </c>
      <c r="P442" s="17" t="str">
        <f t="shared" si="19"/>
        <v>Standard</v>
      </c>
    </row>
    <row r="443" spans="1:16">
      <c r="A443" s="17" t="s">
        <v>456</v>
      </c>
      <c r="B443" s="17">
        <v>105</v>
      </c>
      <c r="C443" s="17">
        <v>22</v>
      </c>
      <c r="D443" s="18">
        <v>46035.3027777778</v>
      </c>
      <c r="E443" s="17">
        <v>4999</v>
      </c>
      <c r="F443" s="17" t="s">
        <v>12</v>
      </c>
      <c r="G443" s="17" t="s">
        <v>10</v>
      </c>
      <c r="H443" s="17">
        <v>82</v>
      </c>
      <c r="I443" s="17" t="str">
        <f>IFERROR(VLOOKUP(C443,Merchants!$A$2:$D$41,2,FALSE),"Merchant not found")</f>
        <v>Merchant_022</v>
      </c>
      <c r="J443" s="17" t="str">
        <f>IFERROR(VLOOKUP(C443,Merchants!$A$2:$D$41,3,FALSE),"Merchant not found")</f>
        <v>travel</v>
      </c>
      <c r="K443" s="17" t="str">
        <f>IFERROR(VLOOKUP(C443,Merchants!$A$2:$D$41,4,FALSE),"Merchant not found")</f>
        <v>South</v>
      </c>
      <c r="L443" s="19">
        <f>_xlfn.IFNA(HLOOKUP(F443,'MDR Rates'!$C$1:$F$2,2,FALSE),"N/A")</f>
        <v>0</v>
      </c>
      <c r="M443" s="20">
        <f t="shared" si="18"/>
        <v>46035</v>
      </c>
      <c r="N443" s="17">
        <f t="shared" si="20"/>
        <v>5798</v>
      </c>
      <c r="O443" s="17">
        <f>GETPIVOTDATA("amount_inr",'Pivot Table'!$A$3,"merchant_name",I443,"Date",M443)</f>
        <v>5798</v>
      </c>
      <c r="P443" s="17" t="str">
        <f t="shared" si="19"/>
        <v>High-Value Merchant Day</v>
      </c>
    </row>
    <row r="444" spans="1:16">
      <c r="A444" s="17" t="s">
        <v>457</v>
      </c>
      <c r="B444" s="17">
        <v>190</v>
      </c>
      <c r="C444" s="17">
        <v>6</v>
      </c>
      <c r="D444" s="18">
        <v>46025.6208333333</v>
      </c>
      <c r="E444" s="17">
        <v>799</v>
      </c>
      <c r="F444" s="17" t="s">
        <v>9</v>
      </c>
      <c r="G444" s="17" t="s">
        <v>10</v>
      </c>
      <c r="H444" s="17">
        <v>68</v>
      </c>
      <c r="I444" s="17" t="str">
        <f>IFERROR(VLOOKUP(C444,Merchants!$A$2:$D$41,2,FALSE),"Merchant not found")</f>
        <v>Merchant_006</v>
      </c>
      <c r="J444" s="17" t="str">
        <f>IFERROR(VLOOKUP(C444,Merchants!$A$2:$D$41,3,FALSE),"Merchant not found")</f>
        <v>food_delivery</v>
      </c>
      <c r="K444" s="17" t="str">
        <f>IFERROR(VLOOKUP(C444,Merchants!$A$2:$D$41,4,FALSE),"Merchant not found")</f>
        <v>South</v>
      </c>
      <c r="L444" s="19">
        <f>_xlfn.IFNA(HLOOKUP(F444,'MDR Rates'!$C$1:$F$2,2,FALSE),"N/A")</f>
        <v>0.01</v>
      </c>
      <c r="M444" s="20">
        <f t="shared" si="18"/>
        <v>46025</v>
      </c>
      <c r="N444" s="17">
        <f t="shared" si="20"/>
        <v>799</v>
      </c>
      <c r="O444" s="17">
        <f>GETPIVOTDATA("amount_inr",'Pivot Table'!$A$3,"merchant_name",I444,"Date",M444)</f>
        <v>799</v>
      </c>
      <c r="P444" s="17" t="str">
        <f t="shared" si="19"/>
        <v>Standard</v>
      </c>
    </row>
    <row r="445" spans="1:16">
      <c r="A445" s="17" t="s">
        <v>458</v>
      </c>
      <c r="B445" s="17">
        <v>138</v>
      </c>
      <c r="C445" s="17">
        <v>25</v>
      </c>
      <c r="D445" s="18">
        <v>46046.2520833333</v>
      </c>
      <c r="E445" s="17">
        <v>299</v>
      </c>
      <c r="F445" s="17" t="s">
        <v>9</v>
      </c>
      <c r="G445" s="17" t="s">
        <v>10</v>
      </c>
      <c r="H445" s="17">
        <v>86</v>
      </c>
      <c r="I445" s="17" t="str">
        <f>IFERROR(VLOOKUP(C445,Merchants!$A$2:$D$41,2,FALSE),"Merchant not found")</f>
        <v>Merchant_025</v>
      </c>
      <c r="J445" s="17" t="str">
        <f>IFERROR(VLOOKUP(C445,Merchants!$A$2:$D$41,3,FALSE),"Merchant not found")</f>
        <v>travel</v>
      </c>
      <c r="K445" s="17" t="str">
        <f>IFERROR(VLOOKUP(C445,Merchants!$A$2:$D$41,4,FALSE),"Merchant not found")</f>
        <v>South</v>
      </c>
      <c r="L445" s="19">
        <f>_xlfn.IFNA(HLOOKUP(F445,'MDR Rates'!$C$1:$F$2,2,FALSE),"N/A")</f>
        <v>0.01</v>
      </c>
      <c r="M445" s="20">
        <f t="shared" si="18"/>
        <v>46046</v>
      </c>
      <c r="N445" s="17">
        <f t="shared" si="20"/>
        <v>497</v>
      </c>
      <c r="O445" s="17">
        <f>GETPIVOTDATA("amount_inr",'Pivot Table'!$A$3,"merchant_name",I445,"Date",M445)</f>
        <v>497</v>
      </c>
      <c r="P445" s="17" t="str">
        <f t="shared" si="19"/>
        <v>Standard</v>
      </c>
    </row>
    <row r="446" spans="1:16">
      <c r="A446" s="17" t="s">
        <v>459</v>
      </c>
      <c r="B446" s="17">
        <v>38</v>
      </c>
      <c r="C446" s="17">
        <v>13</v>
      </c>
      <c r="D446" s="18">
        <v>46042.7930555556</v>
      </c>
      <c r="E446" s="17">
        <v>4999</v>
      </c>
      <c r="F446" s="17" t="s">
        <v>15</v>
      </c>
      <c r="G446" s="17" t="s">
        <v>10</v>
      </c>
      <c r="H446" s="17">
        <v>97</v>
      </c>
      <c r="I446" s="17" t="str">
        <f>IFERROR(VLOOKUP(C446,Merchants!$A$2:$D$41,2,FALSE),"Merchant not found")</f>
        <v>Merchant_013</v>
      </c>
      <c r="J446" s="17" t="str">
        <f>IFERROR(VLOOKUP(C446,Merchants!$A$2:$D$41,3,FALSE),"Merchant not found")</f>
        <v>travel</v>
      </c>
      <c r="K446" s="17" t="str">
        <f>IFERROR(VLOOKUP(C446,Merchants!$A$2:$D$41,4,FALSE),"Merchant not found")</f>
        <v>East</v>
      </c>
      <c r="L446" s="19">
        <f>_xlfn.IFNA(HLOOKUP(F446,'MDR Rates'!$C$1:$F$2,2,FALSE),"N/A")</f>
        <v>0.015</v>
      </c>
      <c r="M446" s="20">
        <f t="shared" si="18"/>
        <v>46042</v>
      </c>
      <c r="N446" s="17">
        <f t="shared" si="20"/>
        <v>4999</v>
      </c>
      <c r="O446" s="17">
        <f>GETPIVOTDATA("amount_inr",'Pivot Table'!$A$3,"merchant_name",I446,"Date",M446)</f>
        <v>4999</v>
      </c>
      <c r="P446" s="17" t="str">
        <f t="shared" si="19"/>
        <v>Standard</v>
      </c>
    </row>
    <row r="447" spans="1:16">
      <c r="A447" s="17" t="s">
        <v>460</v>
      </c>
      <c r="B447" s="17">
        <v>287</v>
      </c>
      <c r="C447" s="17">
        <v>14</v>
      </c>
      <c r="D447" s="18">
        <v>46041.9875</v>
      </c>
      <c r="E447" s="17">
        <v>99</v>
      </c>
      <c r="F447" s="17" t="s">
        <v>9</v>
      </c>
      <c r="G447" s="17" t="s">
        <v>10</v>
      </c>
      <c r="H447" s="17">
        <v>61</v>
      </c>
      <c r="I447" s="17" t="str">
        <f>IFERROR(VLOOKUP(C447,Merchants!$A$2:$D$41,2,FALSE),"Merchant not found")</f>
        <v>Merchant_014</v>
      </c>
      <c r="J447" s="17" t="str">
        <f>IFERROR(VLOOKUP(C447,Merchants!$A$2:$D$41,3,FALSE),"Merchant not found")</f>
        <v>grocery</v>
      </c>
      <c r="K447" s="17" t="str">
        <f>IFERROR(VLOOKUP(C447,Merchants!$A$2:$D$41,4,FALSE),"Merchant not found")</f>
        <v>East</v>
      </c>
      <c r="L447" s="19">
        <f>_xlfn.IFNA(HLOOKUP(F447,'MDR Rates'!$C$1:$F$2,2,FALSE),"N/A")</f>
        <v>0.01</v>
      </c>
      <c r="M447" s="20">
        <f t="shared" si="18"/>
        <v>46041</v>
      </c>
      <c r="N447" s="17">
        <f t="shared" si="20"/>
        <v>99</v>
      </c>
      <c r="O447" s="17">
        <f>GETPIVOTDATA("amount_inr",'Pivot Table'!$A$3,"merchant_name",I447,"Date",M447)</f>
        <v>99</v>
      </c>
      <c r="P447" s="17" t="str">
        <f t="shared" si="19"/>
        <v>Standard</v>
      </c>
    </row>
    <row r="448" spans="1:16">
      <c r="A448" s="17" t="s">
        <v>461</v>
      </c>
      <c r="B448" s="17">
        <v>8</v>
      </c>
      <c r="C448" s="17">
        <v>14</v>
      </c>
      <c r="D448" s="18">
        <v>46029.4298611111</v>
      </c>
      <c r="E448" s="17">
        <v>49</v>
      </c>
      <c r="F448" s="17" t="s">
        <v>12</v>
      </c>
      <c r="G448" s="17" t="s">
        <v>10</v>
      </c>
      <c r="H448" s="17">
        <v>24</v>
      </c>
      <c r="I448" s="17" t="str">
        <f>IFERROR(VLOOKUP(C448,Merchants!$A$2:$D$41,2,FALSE),"Merchant not found")</f>
        <v>Merchant_014</v>
      </c>
      <c r="J448" s="17" t="str">
        <f>IFERROR(VLOOKUP(C448,Merchants!$A$2:$D$41,3,FALSE),"Merchant not found")</f>
        <v>grocery</v>
      </c>
      <c r="K448" s="17" t="str">
        <f>IFERROR(VLOOKUP(C448,Merchants!$A$2:$D$41,4,FALSE),"Merchant not found")</f>
        <v>East</v>
      </c>
      <c r="L448" s="19">
        <f>_xlfn.IFNA(HLOOKUP(F448,'MDR Rates'!$C$1:$F$2,2,FALSE),"N/A")</f>
        <v>0</v>
      </c>
      <c r="M448" s="20">
        <f t="shared" si="18"/>
        <v>46029</v>
      </c>
      <c r="N448" s="17">
        <f t="shared" si="20"/>
        <v>49</v>
      </c>
      <c r="O448" s="17">
        <f>GETPIVOTDATA("amount_inr",'Pivot Table'!$A$3,"merchant_name",I448,"Date",M448)</f>
        <v>49</v>
      </c>
      <c r="P448" s="17" t="str">
        <f t="shared" si="19"/>
        <v>Standard</v>
      </c>
    </row>
    <row r="449" spans="1:16">
      <c r="A449" s="17" t="s">
        <v>462</v>
      </c>
      <c r="B449" s="17">
        <v>246</v>
      </c>
      <c r="C449" s="17">
        <v>16</v>
      </c>
      <c r="D449" s="18">
        <v>46046.1576388889</v>
      </c>
      <c r="E449" s="17">
        <v>1499</v>
      </c>
      <c r="F449" s="17" t="s">
        <v>9</v>
      </c>
      <c r="G449" s="17" t="s">
        <v>10</v>
      </c>
      <c r="H449" s="17">
        <v>89</v>
      </c>
      <c r="I449" s="17" t="str">
        <f>IFERROR(VLOOKUP(C449,Merchants!$A$2:$D$41,2,FALSE),"Merchant not found")</f>
        <v>Merchant_016</v>
      </c>
      <c r="J449" s="17" t="str">
        <f>IFERROR(VLOOKUP(C449,Merchants!$A$2:$D$41,3,FALSE),"Merchant not found")</f>
        <v>bill_payment</v>
      </c>
      <c r="K449" s="17" t="str">
        <f>IFERROR(VLOOKUP(C449,Merchants!$A$2:$D$41,4,FALSE),"Merchant not found")</f>
        <v>West</v>
      </c>
      <c r="L449" s="19">
        <f>_xlfn.IFNA(HLOOKUP(F449,'MDR Rates'!$C$1:$F$2,2,FALSE),"N/A")</f>
        <v>0.01</v>
      </c>
      <c r="M449" s="20">
        <f t="shared" si="18"/>
        <v>46046</v>
      </c>
      <c r="N449" s="17">
        <f t="shared" si="20"/>
        <v>1548</v>
      </c>
      <c r="O449" s="17">
        <f>GETPIVOTDATA("amount_inr",'Pivot Table'!$A$3,"merchant_name",I449,"Date",M449)</f>
        <v>1548</v>
      </c>
      <c r="P449" s="17" t="str">
        <f t="shared" si="19"/>
        <v>Standard</v>
      </c>
    </row>
    <row r="450" spans="1:16">
      <c r="A450" s="17" t="s">
        <v>463</v>
      </c>
      <c r="B450" s="17">
        <v>204</v>
      </c>
      <c r="C450" s="17">
        <v>16</v>
      </c>
      <c r="D450" s="18">
        <v>46042.9256944444</v>
      </c>
      <c r="E450" s="17">
        <v>149</v>
      </c>
      <c r="F450" s="17" t="s">
        <v>12</v>
      </c>
      <c r="G450" s="17" t="s">
        <v>10</v>
      </c>
      <c r="H450" s="17">
        <v>70</v>
      </c>
      <c r="I450" s="17" t="str">
        <f>IFERROR(VLOOKUP(C450,Merchants!$A$2:$D$41,2,FALSE),"Merchant not found")</f>
        <v>Merchant_016</v>
      </c>
      <c r="J450" s="17" t="str">
        <f>IFERROR(VLOOKUP(C450,Merchants!$A$2:$D$41,3,FALSE),"Merchant not found")</f>
        <v>bill_payment</v>
      </c>
      <c r="K450" s="17" t="str">
        <f>IFERROR(VLOOKUP(C450,Merchants!$A$2:$D$41,4,FALSE),"Merchant not found")</f>
        <v>West</v>
      </c>
      <c r="L450" s="19">
        <f>_xlfn.IFNA(HLOOKUP(F450,'MDR Rates'!$C$1:$F$2,2,FALSE),"N/A")</f>
        <v>0</v>
      </c>
      <c r="M450" s="20">
        <f t="shared" si="18"/>
        <v>46042</v>
      </c>
      <c r="N450" s="17">
        <f t="shared" si="20"/>
        <v>448</v>
      </c>
      <c r="O450" s="17">
        <f>GETPIVOTDATA("amount_inr",'Pivot Table'!$A$3,"merchant_name",I450,"Date",M450)</f>
        <v>448</v>
      </c>
      <c r="P450" s="17" t="str">
        <f t="shared" si="19"/>
        <v>Standard</v>
      </c>
    </row>
    <row r="451" spans="1:16">
      <c r="A451" s="17" t="s">
        <v>464</v>
      </c>
      <c r="B451" s="17">
        <v>239</v>
      </c>
      <c r="C451" s="17">
        <v>35</v>
      </c>
      <c r="D451" s="18">
        <v>46033.3916666667</v>
      </c>
      <c r="E451" s="17">
        <v>4999</v>
      </c>
      <c r="F451" s="17" t="s">
        <v>12</v>
      </c>
      <c r="G451" s="17" t="s">
        <v>10</v>
      </c>
      <c r="H451" s="17">
        <v>83</v>
      </c>
      <c r="I451" s="17" t="str">
        <f>IFERROR(VLOOKUP(C451,Merchants!$A$2:$D$41,2,FALSE),"Merchant not found")</f>
        <v>Merchant_035</v>
      </c>
      <c r="J451" s="17" t="str">
        <f>IFERROR(VLOOKUP(C451,Merchants!$A$2:$D$41,3,FALSE),"Merchant not found")</f>
        <v>recharge</v>
      </c>
      <c r="K451" s="17" t="str">
        <f>IFERROR(VLOOKUP(C451,Merchants!$A$2:$D$41,4,FALSE),"Merchant not found")</f>
        <v>East</v>
      </c>
      <c r="L451" s="19">
        <f>_xlfn.IFNA(HLOOKUP(F451,'MDR Rates'!$C$1:$F$2,2,FALSE),"N/A")</f>
        <v>0</v>
      </c>
      <c r="M451" s="20">
        <f t="shared" ref="M451:M514" si="21">INT(D451)</f>
        <v>46033</v>
      </c>
      <c r="N451" s="17">
        <f t="shared" si="20"/>
        <v>4999</v>
      </c>
      <c r="O451" s="17">
        <f>GETPIVOTDATA("amount_inr",'Pivot Table'!$A$3,"merchant_name",I451,"Date",M451)</f>
        <v>4999</v>
      </c>
      <c r="P451" s="17" t="str">
        <f t="shared" ref="P451:P514" si="22">IF(AND(O451&gt;5000,K451&lt;&gt;"East"),"High-Value Merchant Day","Standard")</f>
        <v>Standard</v>
      </c>
    </row>
    <row r="452" spans="1:16">
      <c r="A452" s="17" t="s">
        <v>465</v>
      </c>
      <c r="B452" s="17">
        <v>185</v>
      </c>
      <c r="C452" s="17">
        <v>33</v>
      </c>
      <c r="D452" s="18">
        <v>46034.3861111111</v>
      </c>
      <c r="E452" s="17">
        <v>299</v>
      </c>
      <c r="F452" s="17" t="s">
        <v>12</v>
      </c>
      <c r="G452" s="17" t="s">
        <v>10</v>
      </c>
      <c r="H452" s="17">
        <v>63</v>
      </c>
      <c r="I452" s="17" t="str">
        <f>IFERROR(VLOOKUP(C452,Merchants!$A$2:$D$41,2,FALSE),"Merchant not found")</f>
        <v>Merchant_033</v>
      </c>
      <c r="J452" s="17" t="str">
        <f>IFERROR(VLOOKUP(C452,Merchants!$A$2:$D$41,3,FALSE),"Merchant not found")</f>
        <v>bill_payment</v>
      </c>
      <c r="K452" s="17" t="str">
        <f>IFERROR(VLOOKUP(C452,Merchants!$A$2:$D$41,4,FALSE),"Merchant not found")</f>
        <v>East</v>
      </c>
      <c r="L452" s="19">
        <f>_xlfn.IFNA(HLOOKUP(F452,'MDR Rates'!$C$1:$F$2,2,FALSE),"N/A")</f>
        <v>0</v>
      </c>
      <c r="M452" s="20">
        <f t="shared" si="21"/>
        <v>46034</v>
      </c>
      <c r="N452" s="17">
        <f t="shared" si="20"/>
        <v>299</v>
      </c>
      <c r="O452" s="17">
        <f>GETPIVOTDATA("amount_inr",'Pivot Table'!$A$3,"merchant_name",I452,"Date",M452)</f>
        <v>299</v>
      </c>
      <c r="P452" s="17" t="str">
        <f t="shared" si="22"/>
        <v>Standard</v>
      </c>
    </row>
    <row r="453" spans="1:16">
      <c r="A453" s="17" t="s">
        <v>466</v>
      </c>
      <c r="B453" s="17">
        <v>241</v>
      </c>
      <c r="C453" s="17">
        <v>21</v>
      </c>
      <c r="D453" s="18">
        <v>46037.1604166667</v>
      </c>
      <c r="E453" s="17">
        <v>299</v>
      </c>
      <c r="F453" s="17" t="s">
        <v>24</v>
      </c>
      <c r="G453" s="17" t="s">
        <v>10</v>
      </c>
      <c r="H453" s="17">
        <v>26</v>
      </c>
      <c r="I453" s="17" t="str">
        <f>IFERROR(VLOOKUP(C453,Merchants!$A$2:$D$41,2,FALSE),"Merchant not found")</f>
        <v>Merchant_021</v>
      </c>
      <c r="J453" s="17" t="str">
        <f>IFERROR(VLOOKUP(C453,Merchants!$A$2:$D$41,3,FALSE),"Merchant not found")</f>
        <v>food_delivery</v>
      </c>
      <c r="K453" s="17" t="str">
        <f>IFERROR(VLOOKUP(C453,Merchants!$A$2:$D$41,4,FALSE),"Merchant not found")</f>
        <v>East</v>
      </c>
      <c r="L453" s="19">
        <f>_xlfn.IFNA(HLOOKUP(F453,'MDR Rates'!$C$1:$F$2,2,FALSE),"N/A")</f>
        <v>0.02</v>
      </c>
      <c r="M453" s="20">
        <f t="shared" si="21"/>
        <v>46037</v>
      </c>
      <c r="N453" s="17">
        <f t="shared" ref="N453:N516" si="23">SUMIFS($E$2:$E$548,$C$2:$C$548,C453,$M$2:$M$548,M453)</f>
        <v>299</v>
      </c>
      <c r="O453" s="17">
        <f>GETPIVOTDATA("amount_inr",'Pivot Table'!$A$3,"merchant_name",I453,"Date",M453)</f>
        <v>299</v>
      </c>
      <c r="P453" s="17" t="str">
        <f t="shared" si="22"/>
        <v>Standard</v>
      </c>
    </row>
    <row r="454" spans="1:16">
      <c r="A454" s="17" t="s">
        <v>467</v>
      </c>
      <c r="B454" s="17">
        <v>24</v>
      </c>
      <c r="C454" s="17">
        <v>37</v>
      </c>
      <c r="D454" s="18">
        <v>46034.4347222222</v>
      </c>
      <c r="E454" s="17">
        <v>149</v>
      </c>
      <c r="F454" s="17" t="s">
        <v>12</v>
      </c>
      <c r="G454" s="17" t="s">
        <v>10</v>
      </c>
      <c r="H454" s="17">
        <v>28</v>
      </c>
      <c r="I454" s="17" t="str">
        <f>IFERROR(VLOOKUP(C454,Merchants!$A$2:$D$41,2,FALSE),"Merchant not found")</f>
        <v>Merchant_037</v>
      </c>
      <c r="J454" s="17" t="str">
        <f>IFERROR(VLOOKUP(C454,Merchants!$A$2:$D$41,3,FALSE),"Merchant not found")</f>
        <v>entertainment</v>
      </c>
      <c r="K454" s="17" t="str">
        <f>IFERROR(VLOOKUP(C454,Merchants!$A$2:$D$41,4,FALSE),"Merchant not found")</f>
        <v>South</v>
      </c>
      <c r="L454" s="19">
        <f>_xlfn.IFNA(HLOOKUP(F454,'MDR Rates'!$C$1:$F$2,2,FALSE),"N/A")</f>
        <v>0</v>
      </c>
      <c r="M454" s="20">
        <f t="shared" si="21"/>
        <v>46034</v>
      </c>
      <c r="N454" s="17">
        <f t="shared" si="23"/>
        <v>149</v>
      </c>
      <c r="O454" s="17">
        <f>GETPIVOTDATA("amount_inr",'Pivot Table'!$A$3,"merchant_name",I454,"Date",M454)</f>
        <v>149</v>
      </c>
      <c r="P454" s="17" t="str">
        <f t="shared" si="22"/>
        <v>Standard</v>
      </c>
    </row>
    <row r="455" spans="1:16">
      <c r="A455" s="17" t="s">
        <v>468</v>
      </c>
      <c r="B455" s="17">
        <v>134</v>
      </c>
      <c r="C455" s="17">
        <v>36</v>
      </c>
      <c r="D455" s="18">
        <v>46046.1673611111</v>
      </c>
      <c r="E455" s="17">
        <v>1499</v>
      </c>
      <c r="F455" s="17" t="s">
        <v>12</v>
      </c>
      <c r="G455" s="17" t="s">
        <v>10</v>
      </c>
      <c r="H455" s="17">
        <v>74</v>
      </c>
      <c r="I455" s="17" t="str">
        <f>IFERROR(VLOOKUP(C455,Merchants!$A$2:$D$41,2,FALSE),"Merchant not found")</f>
        <v>Merchant_036</v>
      </c>
      <c r="J455" s="17" t="str">
        <f>IFERROR(VLOOKUP(C455,Merchants!$A$2:$D$41,3,FALSE),"Merchant not found")</f>
        <v>entertainment</v>
      </c>
      <c r="K455" s="17" t="str">
        <f>IFERROR(VLOOKUP(C455,Merchants!$A$2:$D$41,4,FALSE),"Merchant not found")</f>
        <v>East</v>
      </c>
      <c r="L455" s="19">
        <f>_xlfn.IFNA(HLOOKUP(F455,'MDR Rates'!$C$1:$F$2,2,FALSE),"N/A")</f>
        <v>0</v>
      </c>
      <c r="M455" s="20">
        <f t="shared" si="21"/>
        <v>46046</v>
      </c>
      <c r="N455" s="17">
        <f t="shared" si="23"/>
        <v>1647</v>
      </c>
      <c r="O455" s="17">
        <f>GETPIVOTDATA("amount_inr",'Pivot Table'!$A$3,"merchant_name",I455,"Date",M455)</f>
        <v>1647</v>
      </c>
      <c r="P455" s="17" t="str">
        <f t="shared" si="22"/>
        <v>Standard</v>
      </c>
    </row>
    <row r="456" spans="1:16">
      <c r="A456" s="17" t="s">
        <v>469</v>
      </c>
      <c r="B456" s="17">
        <v>152</v>
      </c>
      <c r="C456" s="17">
        <v>10</v>
      </c>
      <c r="D456" s="18">
        <v>46041.9763888889</v>
      </c>
      <c r="E456" s="17">
        <v>499</v>
      </c>
      <c r="F456" s="17" t="s">
        <v>9</v>
      </c>
      <c r="G456" s="17" t="s">
        <v>10</v>
      </c>
      <c r="H456" s="17">
        <v>25</v>
      </c>
      <c r="I456" s="17" t="str">
        <f>IFERROR(VLOOKUP(C456,Merchants!$A$2:$D$41,2,FALSE),"Merchant not found")</f>
        <v>Merchant_010</v>
      </c>
      <c r="J456" s="17" t="str">
        <f>IFERROR(VLOOKUP(C456,Merchants!$A$2:$D$41,3,FALSE),"Merchant not found")</f>
        <v>grocery</v>
      </c>
      <c r="K456" s="17" t="str">
        <f>IFERROR(VLOOKUP(C456,Merchants!$A$2:$D$41,4,FALSE),"Merchant not found")</f>
        <v>West</v>
      </c>
      <c r="L456" s="19">
        <f>_xlfn.IFNA(HLOOKUP(F456,'MDR Rates'!$C$1:$F$2,2,FALSE),"N/A")</f>
        <v>0.01</v>
      </c>
      <c r="M456" s="20">
        <f t="shared" si="21"/>
        <v>46041</v>
      </c>
      <c r="N456" s="17">
        <f t="shared" si="23"/>
        <v>499</v>
      </c>
      <c r="O456" s="17">
        <f>GETPIVOTDATA("amount_inr",'Pivot Table'!$A$3,"merchant_name",I456,"Date",M456)</f>
        <v>499</v>
      </c>
      <c r="P456" s="17" t="str">
        <f t="shared" si="22"/>
        <v>Standard</v>
      </c>
    </row>
    <row r="457" spans="1:16">
      <c r="A457" s="17" t="s">
        <v>470</v>
      </c>
      <c r="B457" s="17">
        <v>292</v>
      </c>
      <c r="C457" s="17">
        <v>16</v>
      </c>
      <c r="D457" s="18">
        <v>46033.3083333333</v>
      </c>
      <c r="E457" s="17">
        <v>499</v>
      </c>
      <c r="F457" s="17" t="s">
        <v>15</v>
      </c>
      <c r="G457" s="17" t="s">
        <v>10</v>
      </c>
      <c r="H457" s="17">
        <v>63</v>
      </c>
      <c r="I457" s="17" t="str">
        <f>IFERROR(VLOOKUP(C457,Merchants!$A$2:$D$41,2,FALSE),"Merchant not found")</f>
        <v>Merchant_016</v>
      </c>
      <c r="J457" s="17" t="str">
        <f>IFERROR(VLOOKUP(C457,Merchants!$A$2:$D$41,3,FALSE),"Merchant not found")</f>
        <v>bill_payment</v>
      </c>
      <c r="K457" s="17" t="str">
        <f>IFERROR(VLOOKUP(C457,Merchants!$A$2:$D$41,4,FALSE),"Merchant not found")</f>
        <v>West</v>
      </c>
      <c r="L457" s="19">
        <f>_xlfn.IFNA(HLOOKUP(F457,'MDR Rates'!$C$1:$F$2,2,FALSE),"N/A")</f>
        <v>0.015</v>
      </c>
      <c r="M457" s="20">
        <f t="shared" si="21"/>
        <v>46033</v>
      </c>
      <c r="N457" s="17">
        <f t="shared" si="23"/>
        <v>499</v>
      </c>
      <c r="O457" s="17">
        <f>GETPIVOTDATA("amount_inr",'Pivot Table'!$A$3,"merchant_name",I457,"Date",M457)</f>
        <v>499</v>
      </c>
      <c r="P457" s="17" t="str">
        <f t="shared" si="22"/>
        <v>Standard</v>
      </c>
    </row>
    <row r="458" spans="1:16">
      <c r="A458" s="17" t="s">
        <v>471</v>
      </c>
      <c r="B458" s="17">
        <v>173</v>
      </c>
      <c r="C458" s="17">
        <v>17</v>
      </c>
      <c r="D458" s="18">
        <v>46040.8631944444</v>
      </c>
      <c r="E458" s="17">
        <v>99</v>
      </c>
      <c r="F458" s="17" t="s">
        <v>15</v>
      </c>
      <c r="G458" s="17" t="s">
        <v>10</v>
      </c>
      <c r="H458" s="17">
        <v>97</v>
      </c>
      <c r="I458" s="17" t="str">
        <f>IFERROR(VLOOKUP(C458,Merchants!$A$2:$D$41,2,FALSE),"Merchant not found")</f>
        <v>Merchant_017</v>
      </c>
      <c r="J458" s="17" t="str">
        <f>IFERROR(VLOOKUP(C458,Merchants!$A$2:$D$41,3,FALSE),"Merchant not found")</f>
        <v>grocery</v>
      </c>
      <c r="K458" s="17" t="str">
        <f>IFERROR(VLOOKUP(C458,Merchants!$A$2:$D$41,4,FALSE),"Merchant not found")</f>
        <v>North</v>
      </c>
      <c r="L458" s="19">
        <f>_xlfn.IFNA(HLOOKUP(F458,'MDR Rates'!$C$1:$F$2,2,FALSE),"N/A")</f>
        <v>0.015</v>
      </c>
      <c r="M458" s="20">
        <f t="shared" si="21"/>
        <v>46040</v>
      </c>
      <c r="N458" s="17">
        <f t="shared" si="23"/>
        <v>198</v>
      </c>
      <c r="O458" s="17">
        <f>GETPIVOTDATA("amount_inr",'Pivot Table'!$A$3,"merchant_name",I458,"Date",M458)</f>
        <v>198</v>
      </c>
      <c r="P458" s="17" t="str">
        <f t="shared" si="22"/>
        <v>Standard</v>
      </c>
    </row>
    <row r="459" spans="1:16">
      <c r="A459" s="17" t="s">
        <v>472</v>
      </c>
      <c r="B459" s="17">
        <v>329</v>
      </c>
      <c r="C459" s="17">
        <v>32</v>
      </c>
      <c r="D459" s="18">
        <v>46049.6569444444</v>
      </c>
      <c r="E459" s="17">
        <v>1499</v>
      </c>
      <c r="F459" s="17" t="s">
        <v>12</v>
      </c>
      <c r="G459" s="17" t="s">
        <v>10</v>
      </c>
      <c r="H459" s="17">
        <v>58</v>
      </c>
      <c r="I459" s="17" t="str">
        <f>IFERROR(VLOOKUP(C459,Merchants!$A$2:$D$41,2,FALSE),"Merchant not found")</f>
        <v>Merchant_032</v>
      </c>
      <c r="J459" s="17" t="str">
        <f>IFERROR(VLOOKUP(C459,Merchants!$A$2:$D$41,3,FALSE),"Merchant not found")</f>
        <v>food_delivery</v>
      </c>
      <c r="K459" s="17" t="str">
        <f>IFERROR(VLOOKUP(C459,Merchants!$A$2:$D$41,4,FALSE),"Merchant not found")</f>
        <v>West</v>
      </c>
      <c r="L459" s="19">
        <f>_xlfn.IFNA(HLOOKUP(F459,'MDR Rates'!$C$1:$F$2,2,FALSE),"N/A")</f>
        <v>0</v>
      </c>
      <c r="M459" s="20">
        <f t="shared" si="21"/>
        <v>46049</v>
      </c>
      <c r="N459" s="17">
        <f t="shared" si="23"/>
        <v>1499</v>
      </c>
      <c r="O459" s="17">
        <f>GETPIVOTDATA("amount_inr",'Pivot Table'!$A$3,"merchant_name",I459,"Date",M459)</f>
        <v>1499</v>
      </c>
      <c r="P459" s="17" t="str">
        <f t="shared" si="22"/>
        <v>Standard</v>
      </c>
    </row>
    <row r="460" spans="1:16">
      <c r="A460" s="17" t="s">
        <v>473</v>
      </c>
      <c r="B460" s="17">
        <v>181</v>
      </c>
      <c r="C460" s="17">
        <v>11</v>
      </c>
      <c r="D460" s="18">
        <v>46028.9930555556</v>
      </c>
      <c r="E460" s="17">
        <v>1499</v>
      </c>
      <c r="F460" s="17" t="s">
        <v>12</v>
      </c>
      <c r="G460" s="17" t="s">
        <v>10</v>
      </c>
      <c r="H460" s="17">
        <v>17</v>
      </c>
      <c r="I460" s="17" t="str">
        <f>IFERROR(VLOOKUP(C460,Merchants!$A$2:$D$41,2,FALSE),"Merchant not found")</f>
        <v>Merchant_011</v>
      </c>
      <c r="J460" s="17" t="str">
        <f>IFERROR(VLOOKUP(C460,Merchants!$A$2:$D$41,3,FALSE),"Merchant not found")</f>
        <v>ecommerce</v>
      </c>
      <c r="K460" s="17" t="str">
        <f>IFERROR(VLOOKUP(C460,Merchants!$A$2:$D$41,4,FALSE),"Merchant not found")</f>
        <v>North</v>
      </c>
      <c r="L460" s="19">
        <f>_xlfn.IFNA(HLOOKUP(F460,'MDR Rates'!$C$1:$F$2,2,FALSE),"N/A")</f>
        <v>0</v>
      </c>
      <c r="M460" s="20">
        <f t="shared" si="21"/>
        <v>46028</v>
      </c>
      <c r="N460" s="17">
        <f t="shared" si="23"/>
        <v>1499</v>
      </c>
      <c r="O460" s="17">
        <f>GETPIVOTDATA("amount_inr",'Pivot Table'!$A$3,"merchant_name",I460,"Date",M460)</f>
        <v>1499</v>
      </c>
      <c r="P460" s="17" t="str">
        <f t="shared" si="22"/>
        <v>Standard</v>
      </c>
    </row>
    <row r="461" spans="1:16">
      <c r="A461" s="17" t="s">
        <v>474</v>
      </c>
      <c r="B461" s="17">
        <v>95</v>
      </c>
      <c r="C461" s="17">
        <v>35</v>
      </c>
      <c r="D461" s="18">
        <v>46046.7298611111</v>
      </c>
      <c r="E461" s="17">
        <v>149</v>
      </c>
      <c r="F461" s="17" t="s">
        <v>9</v>
      </c>
      <c r="G461" s="17" t="s">
        <v>10</v>
      </c>
      <c r="H461" s="17">
        <v>82</v>
      </c>
      <c r="I461" s="17" t="str">
        <f>IFERROR(VLOOKUP(C461,Merchants!$A$2:$D$41,2,FALSE),"Merchant not found")</f>
        <v>Merchant_035</v>
      </c>
      <c r="J461" s="17" t="str">
        <f>IFERROR(VLOOKUP(C461,Merchants!$A$2:$D$41,3,FALSE),"Merchant not found")</f>
        <v>recharge</v>
      </c>
      <c r="K461" s="17" t="str">
        <f>IFERROR(VLOOKUP(C461,Merchants!$A$2:$D$41,4,FALSE),"Merchant not found")</f>
        <v>East</v>
      </c>
      <c r="L461" s="19">
        <f>_xlfn.IFNA(HLOOKUP(F461,'MDR Rates'!$C$1:$F$2,2,FALSE),"N/A")</f>
        <v>0.01</v>
      </c>
      <c r="M461" s="20">
        <f t="shared" si="21"/>
        <v>46046</v>
      </c>
      <c r="N461" s="17">
        <f t="shared" si="23"/>
        <v>149</v>
      </c>
      <c r="O461" s="17">
        <f>GETPIVOTDATA("amount_inr",'Pivot Table'!$A$3,"merchant_name",I461,"Date",M461)</f>
        <v>149</v>
      </c>
      <c r="P461" s="17" t="str">
        <f t="shared" si="22"/>
        <v>Standard</v>
      </c>
    </row>
    <row r="462" spans="1:16">
      <c r="A462" s="17" t="s">
        <v>475</v>
      </c>
      <c r="B462" s="17">
        <v>39</v>
      </c>
      <c r="C462" s="17">
        <v>4</v>
      </c>
      <c r="D462" s="18">
        <v>46024.6680555556</v>
      </c>
      <c r="E462" s="17">
        <v>149</v>
      </c>
      <c r="F462" s="17" t="s">
        <v>15</v>
      </c>
      <c r="G462" s="17" t="s">
        <v>10</v>
      </c>
      <c r="H462" s="17">
        <v>97</v>
      </c>
      <c r="I462" s="17" t="str">
        <f>IFERROR(VLOOKUP(C462,Merchants!$A$2:$D$41,2,FALSE),"Merchant not found")</f>
        <v>Merchant_004</v>
      </c>
      <c r="J462" s="17" t="str">
        <f>IFERROR(VLOOKUP(C462,Merchants!$A$2:$D$41,3,FALSE),"Merchant not found")</f>
        <v>ecommerce</v>
      </c>
      <c r="K462" s="17" t="str">
        <f>IFERROR(VLOOKUP(C462,Merchants!$A$2:$D$41,4,FALSE),"Merchant not found")</f>
        <v>East</v>
      </c>
      <c r="L462" s="19">
        <f>_xlfn.IFNA(HLOOKUP(F462,'MDR Rates'!$C$1:$F$2,2,FALSE),"N/A")</f>
        <v>0.015</v>
      </c>
      <c r="M462" s="20">
        <f t="shared" si="21"/>
        <v>46024</v>
      </c>
      <c r="N462" s="17">
        <f t="shared" si="23"/>
        <v>149</v>
      </c>
      <c r="O462" s="17">
        <f>GETPIVOTDATA("amount_inr",'Pivot Table'!$A$3,"merchant_name",I462,"Date",M462)</f>
        <v>149</v>
      </c>
      <c r="P462" s="17" t="str">
        <f t="shared" si="22"/>
        <v>Standard</v>
      </c>
    </row>
    <row r="463" spans="1:16">
      <c r="A463" s="17" t="s">
        <v>476</v>
      </c>
      <c r="B463" s="17">
        <v>323</v>
      </c>
      <c r="C463" s="17">
        <v>15</v>
      </c>
      <c r="D463" s="18">
        <v>46023.5472222222</v>
      </c>
      <c r="E463" s="17">
        <v>499</v>
      </c>
      <c r="F463" s="17" t="s">
        <v>12</v>
      </c>
      <c r="G463" s="17" t="s">
        <v>10</v>
      </c>
      <c r="H463" s="17">
        <v>8</v>
      </c>
      <c r="I463" s="17" t="str">
        <f>IFERROR(VLOOKUP(C463,Merchants!$A$2:$D$41,2,FALSE),"Merchant not found")</f>
        <v>Merchant_015</v>
      </c>
      <c r="J463" s="17" t="str">
        <f>IFERROR(VLOOKUP(C463,Merchants!$A$2:$D$41,3,FALSE),"Merchant not found")</f>
        <v>travel</v>
      </c>
      <c r="K463" s="17" t="str">
        <f>IFERROR(VLOOKUP(C463,Merchants!$A$2:$D$41,4,FALSE),"Merchant not found")</f>
        <v>North</v>
      </c>
      <c r="L463" s="19">
        <f>_xlfn.IFNA(HLOOKUP(F463,'MDR Rates'!$C$1:$F$2,2,FALSE),"N/A")</f>
        <v>0</v>
      </c>
      <c r="M463" s="20">
        <f t="shared" si="21"/>
        <v>46023</v>
      </c>
      <c r="N463" s="17">
        <f t="shared" si="23"/>
        <v>499</v>
      </c>
      <c r="O463" s="17">
        <f>GETPIVOTDATA("amount_inr",'Pivot Table'!$A$3,"merchant_name",I463,"Date",M463)</f>
        <v>499</v>
      </c>
      <c r="P463" s="17" t="str">
        <f t="shared" si="22"/>
        <v>Standard</v>
      </c>
    </row>
    <row r="464" spans="1:16">
      <c r="A464" s="17" t="s">
        <v>477</v>
      </c>
      <c r="B464" s="17">
        <v>112</v>
      </c>
      <c r="C464" s="17">
        <v>33</v>
      </c>
      <c r="D464" s="18">
        <v>46045.1666666667</v>
      </c>
      <c r="E464" s="17">
        <v>49</v>
      </c>
      <c r="F464" s="17" t="s">
        <v>15</v>
      </c>
      <c r="G464" s="17" t="s">
        <v>10</v>
      </c>
      <c r="H464" s="17">
        <v>58</v>
      </c>
      <c r="I464" s="17" t="str">
        <f>IFERROR(VLOOKUP(C464,Merchants!$A$2:$D$41,2,FALSE),"Merchant not found")</f>
        <v>Merchant_033</v>
      </c>
      <c r="J464" s="17" t="str">
        <f>IFERROR(VLOOKUP(C464,Merchants!$A$2:$D$41,3,FALSE),"Merchant not found")</f>
        <v>bill_payment</v>
      </c>
      <c r="K464" s="17" t="str">
        <f>IFERROR(VLOOKUP(C464,Merchants!$A$2:$D$41,4,FALSE),"Merchant not found")</f>
        <v>East</v>
      </c>
      <c r="L464" s="19">
        <f>_xlfn.IFNA(HLOOKUP(F464,'MDR Rates'!$C$1:$F$2,2,FALSE),"N/A")</f>
        <v>0.015</v>
      </c>
      <c r="M464" s="20">
        <f t="shared" si="21"/>
        <v>46045</v>
      </c>
      <c r="N464" s="17">
        <f t="shared" si="23"/>
        <v>49</v>
      </c>
      <c r="O464" s="17">
        <f>GETPIVOTDATA("amount_inr",'Pivot Table'!$A$3,"merchant_name",I464,"Date",M464)</f>
        <v>49</v>
      </c>
      <c r="P464" s="17" t="str">
        <f t="shared" si="22"/>
        <v>Standard</v>
      </c>
    </row>
    <row r="465" spans="1:16">
      <c r="A465" s="17" t="s">
        <v>478</v>
      </c>
      <c r="B465" s="17">
        <v>327</v>
      </c>
      <c r="C465" s="17">
        <v>40</v>
      </c>
      <c r="D465" s="18">
        <v>46034.06875</v>
      </c>
      <c r="E465" s="17">
        <v>99</v>
      </c>
      <c r="F465" s="17" t="s">
        <v>12</v>
      </c>
      <c r="G465" s="17" t="s">
        <v>10</v>
      </c>
      <c r="H465" s="17">
        <v>61</v>
      </c>
      <c r="I465" s="17" t="str">
        <f>IFERROR(VLOOKUP(C465,Merchants!$A$2:$D$41,2,FALSE),"Merchant not found")</f>
        <v>Merchant_040</v>
      </c>
      <c r="J465" s="17" t="str">
        <f>IFERROR(VLOOKUP(C465,Merchants!$A$2:$D$41,3,FALSE),"Merchant not found")</f>
        <v>entertainment</v>
      </c>
      <c r="K465" s="17" t="str">
        <f>IFERROR(VLOOKUP(C465,Merchants!$A$2:$D$41,4,FALSE),"Merchant not found")</f>
        <v>South</v>
      </c>
      <c r="L465" s="19">
        <f>_xlfn.IFNA(HLOOKUP(F465,'MDR Rates'!$C$1:$F$2,2,FALSE),"N/A")</f>
        <v>0</v>
      </c>
      <c r="M465" s="20">
        <f t="shared" si="21"/>
        <v>46034</v>
      </c>
      <c r="N465" s="17">
        <f t="shared" si="23"/>
        <v>99</v>
      </c>
      <c r="O465" s="17">
        <f>GETPIVOTDATA("amount_inr",'Pivot Table'!$A$3,"merchant_name",I465,"Date",M465)</f>
        <v>99</v>
      </c>
      <c r="P465" s="17" t="str">
        <f t="shared" si="22"/>
        <v>Standard</v>
      </c>
    </row>
    <row r="466" spans="1:16">
      <c r="A466" s="17" t="s">
        <v>479</v>
      </c>
      <c r="B466" s="17">
        <v>4</v>
      </c>
      <c r="C466" s="17">
        <v>35</v>
      </c>
      <c r="D466" s="18">
        <v>46044.6256944444</v>
      </c>
      <c r="E466" s="17">
        <v>299</v>
      </c>
      <c r="F466" s="17" t="s">
        <v>12</v>
      </c>
      <c r="G466" s="17" t="s">
        <v>10</v>
      </c>
      <c r="H466" s="17">
        <v>70</v>
      </c>
      <c r="I466" s="17" t="str">
        <f>IFERROR(VLOOKUP(C466,Merchants!$A$2:$D$41,2,FALSE),"Merchant not found")</f>
        <v>Merchant_035</v>
      </c>
      <c r="J466" s="17" t="str">
        <f>IFERROR(VLOOKUP(C466,Merchants!$A$2:$D$41,3,FALSE),"Merchant not found")</f>
        <v>recharge</v>
      </c>
      <c r="K466" s="17" t="str">
        <f>IFERROR(VLOOKUP(C466,Merchants!$A$2:$D$41,4,FALSE),"Merchant not found")</f>
        <v>East</v>
      </c>
      <c r="L466" s="19">
        <f>_xlfn.IFNA(HLOOKUP(F466,'MDR Rates'!$C$1:$F$2,2,FALSE),"N/A")</f>
        <v>0</v>
      </c>
      <c r="M466" s="20">
        <f t="shared" si="21"/>
        <v>46044</v>
      </c>
      <c r="N466" s="17">
        <f t="shared" si="23"/>
        <v>299</v>
      </c>
      <c r="O466" s="17">
        <f>GETPIVOTDATA("amount_inr",'Pivot Table'!$A$3,"merchant_name",I466,"Date",M466)</f>
        <v>299</v>
      </c>
      <c r="P466" s="17" t="str">
        <f t="shared" si="22"/>
        <v>Standard</v>
      </c>
    </row>
    <row r="467" spans="1:16">
      <c r="A467" s="17" t="s">
        <v>480</v>
      </c>
      <c r="B467" s="17">
        <v>272</v>
      </c>
      <c r="C467" s="17">
        <v>18</v>
      </c>
      <c r="D467" s="18">
        <v>46036.0006944444</v>
      </c>
      <c r="E467" s="17">
        <v>149</v>
      </c>
      <c r="F467" s="17" t="s">
        <v>12</v>
      </c>
      <c r="G467" s="17" t="s">
        <v>10</v>
      </c>
      <c r="H467" s="17">
        <v>68</v>
      </c>
      <c r="I467" s="17" t="str">
        <f>IFERROR(VLOOKUP(C467,Merchants!$A$2:$D$41,2,FALSE),"Merchant not found")</f>
        <v>Merchant_018</v>
      </c>
      <c r="J467" s="17" t="str">
        <f>IFERROR(VLOOKUP(C467,Merchants!$A$2:$D$41,3,FALSE),"Merchant not found")</f>
        <v>grocery</v>
      </c>
      <c r="K467" s="17" t="str">
        <f>IFERROR(VLOOKUP(C467,Merchants!$A$2:$D$41,4,FALSE),"Merchant not found")</f>
        <v>West</v>
      </c>
      <c r="L467" s="19">
        <f>_xlfn.IFNA(HLOOKUP(F467,'MDR Rates'!$C$1:$F$2,2,FALSE),"N/A")</f>
        <v>0</v>
      </c>
      <c r="M467" s="20">
        <f t="shared" si="21"/>
        <v>46036</v>
      </c>
      <c r="N467" s="17">
        <f t="shared" si="23"/>
        <v>149</v>
      </c>
      <c r="O467" s="17">
        <f>GETPIVOTDATA("amount_inr",'Pivot Table'!$A$3,"merchant_name",I467,"Date",M467)</f>
        <v>149</v>
      </c>
      <c r="P467" s="17" t="str">
        <f t="shared" si="22"/>
        <v>Standard</v>
      </c>
    </row>
    <row r="468" spans="1:16">
      <c r="A468" s="17" t="s">
        <v>481</v>
      </c>
      <c r="B468" s="17">
        <v>346</v>
      </c>
      <c r="C468" s="17">
        <v>28</v>
      </c>
      <c r="D468" s="18">
        <v>46032.0222222222</v>
      </c>
      <c r="E468" s="17">
        <v>499</v>
      </c>
      <c r="F468" s="17" t="s">
        <v>12</v>
      </c>
      <c r="G468" s="17" t="s">
        <v>10</v>
      </c>
      <c r="H468" s="17">
        <v>22</v>
      </c>
      <c r="I468" s="17" t="str">
        <f>IFERROR(VLOOKUP(C468,Merchants!$A$2:$D$41,2,FALSE),"Merchant not found")</f>
        <v>Merchant_028</v>
      </c>
      <c r="J468" s="17" t="str">
        <f>IFERROR(VLOOKUP(C468,Merchants!$A$2:$D$41,3,FALSE),"Merchant not found")</f>
        <v>ecommerce</v>
      </c>
      <c r="K468" s="17" t="str">
        <f>IFERROR(VLOOKUP(C468,Merchants!$A$2:$D$41,4,FALSE),"Merchant not found")</f>
        <v>South</v>
      </c>
      <c r="L468" s="19">
        <f>_xlfn.IFNA(HLOOKUP(F468,'MDR Rates'!$C$1:$F$2,2,FALSE),"N/A")</f>
        <v>0</v>
      </c>
      <c r="M468" s="20">
        <f t="shared" si="21"/>
        <v>46032</v>
      </c>
      <c r="N468" s="17">
        <f t="shared" si="23"/>
        <v>499</v>
      </c>
      <c r="O468" s="17">
        <f>GETPIVOTDATA("amount_inr",'Pivot Table'!$A$3,"merchant_name",I468,"Date",M468)</f>
        <v>499</v>
      </c>
      <c r="P468" s="17" t="str">
        <f t="shared" si="22"/>
        <v>Standard</v>
      </c>
    </row>
    <row r="469" spans="1:16">
      <c r="A469" s="17" t="s">
        <v>482</v>
      </c>
      <c r="B469" s="17">
        <v>77</v>
      </c>
      <c r="C469" s="17">
        <v>16</v>
      </c>
      <c r="D469" s="18">
        <v>46026.1479166667</v>
      </c>
      <c r="E469" s="17">
        <v>49</v>
      </c>
      <c r="F469" s="17" t="s">
        <v>9</v>
      </c>
      <c r="G469" s="17" t="s">
        <v>10</v>
      </c>
      <c r="H469" s="17">
        <v>24</v>
      </c>
      <c r="I469" s="17" t="str">
        <f>IFERROR(VLOOKUP(C469,Merchants!$A$2:$D$41,2,FALSE),"Merchant not found")</f>
        <v>Merchant_016</v>
      </c>
      <c r="J469" s="17" t="str">
        <f>IFERROR(VLOOKUP(C469,Merchants!$A$2:$D$41,3,FALSE),"Merchant not found")</f>
        <v>bill_payment</v>
      </c>
      <c r="K469" s="17" t="str">
        <f>IFERROR(VLOOKUP(C469,Merchants!$A$2:$D$41,4,FALSE),"Merchant not found")</f>
        <v>West</v>
      </c>
      <c r="L469" s="19">
        <f>_xlfn.IFNA(HLOOKUP(F469,'MDR Rates'!$C$1:$F$2,2,FALSE),"N/A")</f>
        <v>0.01</v>
      </c>
      <c r="M469" s="20">
        <f t="shared" si="21"/>
        <v>46026</v>
      </c>
      <c r="N469" s="17">
        <f t="shared" si="23"/>
        <v>49</v>
      </c>
      <c r="O469" s="17">
        <f>GETPIVOTDATA("amount_inr",'Pivot Table'!$A$3,"merchant_name",I469,"Date",M469)</f>
        <v>49</v>
      </c>
      <c r="P469" s="17" t="str">
        <f t="shared" si="22"/>
        <v>Standard</v>
      </c>
    </row>
    <row r="470" spans="1:16">
      <c r="A470" s="17" t="s">
        <v>483</v>
      </c>
      <c r="B470" s="17">
        <v>182</v>
      </c>
      <c r="C470" s="17">
        <v>18</v>
      </c>
      <c r="D470" s="18">
        <v>46042.6777777778</v>
      </c>
      <c r="E470" s="17">
        <v>149</v>
      </c>
      <c r="F470" s="17" t="s">
        <v>24</v>
      </c>
      <c r="G470" s="17" t="s">
        <v>10</v>
      </c>
      <c r="H470" s="17">
        <v>50</v>
      </c>
      <c r="I470" s="17" t="str">
        <f>IFERROR(VLOOKUP(C470,Merchants!$A$2:$D$41,2,FALSE),"Merchant not found")</f>
        <v>Merchant_018</v>
      </c>
      <c r="J470" s="17" t="str">
        <f>IFERROR(VLOOKUP(C470,Merchants!$A$2:$D$41,3,FALSE),"Merchant not found")</f>
        <v>grocery</v>
      </c>
      <c r="K470" s="17" t="str">
        <f>IFERROR(VLOOKUP(C470,Merchants!$A$2:$D$41,4,FALSE),"Merchant not found")</f>
        <v>West</v>
      </c>
      <c r="L470" s="19">
        <f>_xlfn.IFNA(HLOOKUP(F470,'MDR Rates'!$C$1:$F$2,2,FALSE),"N/A")</f>
        <v>0.02</v>
      </c>
      <c r="M470" s="20">
        <f t="shared" si="21"/>
        <v>46042</v>
      </c>
      <c r="N470" s="17">
        <f t="shared" si="23"/>
        <v>149</v>
      </c>
      <c r="O470" s="17">
        <f>GETPIVOTDATA("amount_inr",'Pivot Table'!$A$3,"merchant_name",I470,"Date",M470)</f>
        <v>149</v>
      </c>
      <c r="P470" s="17" t="str">
        <f t="shared" si="22"/>
        <v>Standard</v>
      </c>
    </row>
    <row r="471" spans="1:16">
      <c r="A471" s="17" t="s">
        <v>484</v>
      </c>
      <c r="B471" s="17">
        <v>236</v>
      </c>
      <c r="C471" s="17">
        <v>37</v>
      </c>
      <c r="D471" s="18">
        <v>46025.4756944444</v>
      </c>
      <c r="E471" s="17">
        <v>299</v>
      </c>
      <c r="F471" s="17" t="s">
        <v>24</v>
      </c>
      <c r="G471" s="17" t="s">
        <v>10</v>
      </c>
      <c r="H471" s="17">
        <v>31</v>
      </c>
      <c r="I471" s="17" t="str">
        <f>IFERROR(VLOOKUP(C471,Merchants!$A$2:$D$41,2,FALSE),"Merchant not found")</f>
        <v>Merchant_037</v>
      </c>
      <c r="J471" s="17" t="str">
        <f>IFERROR(VLOOKUP(C471,Merchants!$A$2:$D$41,3,FALSE),"Merchant not found")</f>
        <v>entertainment</v>
      </c>
      <c r="K471" s="17" t="str">
        <f>IFERROR(VLOOKUP(C471,Merchants!$A$2:$D$41,4,FALSE),"Merchant not found")</f>
        <v>South</v>
      </c>
      <c r="L471" s="19">
        <f>_xlfn.IFNA(HLOOKUP(F471,'MDR Rates'!$C$1:$F$2,2,FALSE),"N/A")</f>
        <v>0.02</v>
      </c>
      <c r="M471" s="20">
        <f t="shared" si="21"/>
        <v>46025</v>
      </c>
      <c r="N471" s="17">
        <f t="shared" si="23"/>
        <v>299</v>
      </c>
      <c r="O471" s="17">
        <f>GETPIVOTDATA("amount_inr",'Pivot Table'!$A$3,"merchant_name",I471,"Date",M471)</f>
        <v>299</v>
      </c>
      <c r="P471" s="17" t="str">
        <f t="shared" si="22"/>
        <v>Standard</v>
      </c>
    </row>
    <row r="472" spans="1:16">
      <c r="A472" s="17" t="s">
        <v>485</v>
      </c>
      <c r="B472" s="17">
        <v>42</v>
      </c>
      <c r="C472" s="17">
        <v>3</v>
      </c>
      <c r="D472" s="18">
        <v>46045.3048611111</v>
      </c>
      <c r="E472" s="17">
        <v>49</v>
      </c>
      <c r="F472" s="17" t="s">
        <v>12</v>
      </c>
      <c r="G472" s="17" t="s">
        <v>10</v>
      </c>
      <c r="H472" s="17">
        <v>11</v>
      </c>
      <c r="I472" s="17" t="str">
        <f>IFERROR(VLOOKUP(C472,Merchants!$A$2:$D$41,2,FALSE),"Merchant not found")</f>
        <v>Merchant_003</v>
      </c>
      <c r="J472" s="17" t="str">
        <f>IFERROR(VLOOKUP(C472,Merchants!$A$2:$D$41,3,FALSE),"Merchant not found")</f>
        <v>grocery</v>
      </c>
      <c r="K472" s="17" t="str">
        <f>IFERROR(VLOOKUP(C472,Merchants!$A$2:$D$41,4,FALSE),"Merchant not found")</f>
        <v>East</v>
      </c>
      <c r="L472" s="19">
        <f>_xlfn.IFNA(HLOOKUP(F472,'MDR Rates'!$C$1:$F$2,2,FALSE),"N/A")</f>
        <v>0</v>
      </c>
      <c r="M472" s="20">
        <f t="shared" si="21"/>
        <v>46045</v>
      </c>
      <c r="N472" s="17">
        <f t="shared" si="23"/>
        <v>49</v>
      </c>
      <c r="O472" s="17">
        <f>GETPIVOTDATA("amount_inr",'Pivot Table'!$A$3,"merchant_name",I472,"Date",M472)</f>
        <v>49</v>
      </c>
      <c r="P472" s="17" t="str">
        <f t="shared" si="22"/>
        <v>Standard</v>
      </c>
    </row>
    <row r="473" spans="1:16">
      <c r="A473" s="17" t="s">
        <v>486</v>
      </c>
      <c r="B473" s="17">
        <v>283</v>
      </c>
      <c r="C473" s="17">
        <v>31</v>
      </c>
      <c r="D473" s="18">
        <v>46035.5166666667</v>
      </c>
      <c r="E473" s="17">
        <v>299</v>
      </c>
      <c r="F473" s="17" t="s">
        <v>15</v>
      </c>
      <c r="G473" s="17" t="s">
        <v>10</v>
      </c>
      <c r="H473" s="17">
        <v>7</v>
      </c>
      <c r="I473" s="17" t="str">
        <f>IFERROR(VLOOKUP(C473,Merchants!$A$2:$D$41,2,FALSE),"Merchant not found")</f>
        <v>Merchant_031</v>
      </c>
      <c r="J473" s="17" t="str">
        <f>IFERROR(VLOOKUP(C473,Merchants!$A$2:$D$41,3,FALSE),"Merchant not found")</f>
        <v>bill_payment</v>
      </c>
      <c r="K473" s="17" t="str">
        <f>IFERROR(VLOOKUP(C473,Merchants!$A$2:$D$41,4,FALSE),"Merchant not found")</f>
        <v>East</v>
      </c>
      <c r="L473" s="19">
        <f>_xlfn.IFNA(HLOOKUP(F473,'MDR Rates'!$C$1:$F$2,2,FALSE),"N/A")</f>
        <v>0.015</v>
      </c>
      <c r="M473" s="20">
        <f t="shared" si="21"/>
        <v>46035</v>
      </c>
      <c r="N473" s="17">
        <f t="shared" si="23"/>
        <v>299</v>
      </c>
      <c r="O473" s="17">
        <f>GETPIVOTDATA("amount_inr",'Pivot Table'!$A$3,"merchant_name",I473,"Date",M473)</f>
        <v>299</v>
      </c>
      <c r="P473" s="17" t="str">
        <f t="shared" si="22"/>
        <v>Standard</v>
      </c>
    </row>
    <row r="474" spans="1:16">
      <c r="A474" s="17" t="s">
        <v>487</v>
      </c>
      <c r="B474" s="17">
        <v>88</v>
      </c>
      <c r="C474" s="17">
        <v>6</v>
      </c>
      <c r="D474" s="18">
        <v>46043.0305555556</v>
      </c>
      <c r="E474" s="17">
        <v>49</v>
      </c>
      <c r="F474" s="17" t="s">
        <v>12</v>
      </c>
      <c r="G474" s="17" t="s">
        <v>10</v>
      </c>
      <c r="H474" s="17">
        <v>63</v>
      </c>
      <c r="I474" s="17" t="str">
        <f>IFERROR(VLOOKUP(C474,Merchants!$A$2:$D$41,2,FALSE),"Merchant not found")</f>
        <v>Merchant_006</v>
      </c>
      <c r="J474" s="17" t="str">
        <f>IFERROR(VLOOKUP(C474,Merchants!$A$2:$D$41,3,FALSE),"Merchant not found")</f>
        <v>food_delivery</v>
      </c>
      <c r="K474" s="17" t="str">
        <f>IFERROR(VLOOKUP(C474,Merchants!$A$2:$D$41,4,FALSE),"Merchant not found")</f>
        <v>South</v>
      </c>
      <c r="L474" s="19">
        <f>_xlfn.IFNA(HLOOKUP(F474,'MDR Rates'!$C$1:$F$2,2,FALSE),"N/A")</f>
        <v>0</v>
      </c>
      <c r="M474" s="20">
        <f t="shared" si="21"/>
        <v>46043</v>
      </c>
      <c r="N474" s="17">
        <f t="shared" si="23"/>
        <v>49</v>
      </c>
      <c r="O474" s="17">
        <f>GETPIVOTDATA("amount_inr",'Pivot Table'!$A$3,"merchant_name",I474,"Date",M474)</f>
        <v>49</v>
      </c>
      <c r="P474" s="17" t="str">
        <f t="shared" si="22"/>
        <v>Standard</v>
      </c>
    </row>
    <row r="475" spans="1:16">
      <c r="A475" s="17" t="s">
        <v>488</v>
      </c>
      <c r="B475" s="17">
        <v>170</v>
      </c>
      <c r="C475" s="17">
        <v>37</v>
      </c>
      <c r="D475" s="18">
        <v>46050.5701388889</v>
      </c>
      <c r="E475" s="17">
        <v>99</v>
      </c>
      <c r="F475" s="17" t="s">
        <v>12</v>
      </c>
      <c r="G475" s="17" t="s">
        <v>25</v>
      </c>
      <c r="H475" s="17">
        <v>12</v>
      </c>
      <c r="I475" s="17" t="str">
        <f>IFERROR(VLOOKUP(C475,Merchants!$A$2:$D$41,2,FALSE),"Merchant not found")</f>
        <v>Merchant_037</v>
      </c>
      <c r="J475" s="17" t="str">
        <f>IFERROR(VLOOKUP(C475,Merchants!$A$2:$D$41,3,FALSE),"Merchant not found")</f>
        <v>entertainment</v>
      </c>
      <c r="K475" s="17" t="str">
        <f>IFERROR(VLOOKUP(C475,Merchants!$A$2:$D$41,4,FALSE),"Merchant not found")</f>
        <v>South</v>
      </c>
      <c r="L475" s="19">
        <f>_xlfn.IFNA(HLOOKUP(F475,'MDR Rates'!$C$1:$F$2,2,FALSE),"N/A")</f>
        <v>0</v>
      </c>
      <c r="M475" s="20">
        <f t="shared" si="21"/>
        <v>46050</v>
      </c>
      <c r="N475" s="17">
        <f t="shared" si="23"/>
        <v>697</v>
      </c>
      <c r="O475" s="17">
        <f>GETPIVOTDATA("amount_inr",'Pivot Table'!$A$3,"merchant_name",I475,"Date",M475)</f>
        <v>697</v>
      </c>
      <c r="P475" s="17" t="str">
        <f t="shared" si="22"/>
        <v>Standard</v>
      </c>
    </row>
    <row r="476" spans="1:16">
      <c r="A476" s="17" t="s">
        <v>489</v>
      </c>
      <c r="B476" s="17">
        <v>22</v>
      </c>
      <c r="C476" s="17">
        <v>15</v>
      </c>
      <c r="D476" s="18">
        <v>46051.7069444444</v>
      </c>
      <c r="E476" s="17">
        <v>49</v>
      </c>
      <c r="F476" s="17" t="s">
        <v>15</v>
      </c>
      <c r="G476" s="17" t="s">
        <v>10</v>
      </c>
      <c r="H476" s="17">
        <v>27</v>
      </c>
      <c r="I476" s="17" t="str">
        <f>IFERROR(VLOOKUP(C476,Merchants!$A$2:$D$41,2,FALSE),"Merchant not found")</f>
        <v>Merchant_015</v>
      </c>
      <c r="J476" s="17" t="str">
        <f>IFERROR(VLOOKUP(C476,Merchants!$A$2:$D$41,3,FALSE),"Merchant not found")</f>
        <v>travel</v>
      </c>
      <c r="K476" s="17" t="str">
        <f>IFERROR(VLOOKUP(C476,Merchants!$A$2:$D$41,4,FALSE),"Merchant not found")</f>
        <v>North</v>
      </c>
      <c r="L476" s="19">
        <f>_xlfn.IFNA(HLOOKUP(F476,'MDR Rates'!$C$1:$F$2,2,FALSE),"N/A")</f>
        <v>0.015</v>
      </c>
      <c r="M476" s="20">
        <f t="shared" si="21"/>
        <v>46051</v>
      </c>
      <c r="N476" s="17">
        <f t="shared" si="23"/>
        <v>98</v>
      </c>
      <c r="O476" s="17">
        <f>GETPIVOTDATA("amount_inr",'Pivot Table'!$A$3,"merchant_name",I476,"Date",M476)</f>
        <v>98</v>
      </c>
      <c r="P476" s="17" t="str">
        <f t="shared" si="22"/>
        <v>Standard</v>
      </c>
    </row>
    <row r="477" spans="1:16">
      <c r="A477" s="17" t="s">
        <v>490</v>
      </c>
      <c r="B477" s="17">
        <v>291</v>
      </c>
      <c r="C477" s="17">
        <v>31</v>
      </c>
      <c r="D477" s="18">
        <v>46051.9555555556</v>
      </c>
      <c r="E477" s="17">
        <v>49</v>
      </c>
      <c r="F477" s="17" t="s">
        <v>15</v>
      </c>
      <c r="G477" s="17" t="s">
        <v>25</v>
      </c>
      <c r="H477" s="17">
        <v>34</v>
      </c>
      <c r="I477" s="17" t="str">
        <f>IFERROR(VLOOKUP(C477,Merchants!$A$2:$D$41,2,FALSE),"Merchant not found")</f>
        <v>Merchant_031</v>
      </c>
      <c r="J477" s="17" t="str">
        <f>IFERROR(VLOOKUP(C477,Merchants!$A$2:$D$41,3,FALSE),"Merchant not found")</f>
        <v>bill_payment</v>
      </c>
      <c r="K477" s="17" t="str">
        <f>IFERROR(VLOOKUP(C477,Merchants!$A$2:$D$41,4,FALSE),"Merchant not found")</f>
        <v>East</v>
      </c>
      <c r="L477" s="19">
        <f>_xlfn.IFNA(HLOOKUP(F477,'MDR Rates'!$C$1:$F$2,2,FALSE),"N/A")</f>
        <v>0.015</v>
      </c>
      <c r="M477" s="20">
        <f t="shared" si="21"/>
        <v>46051</v>
      </c>
      <c r="N477" s="17">
        <f t="shared" si="23"/>
        <v>49</v>
      </c>
      <c r="O477" s="17">
        <f>GETPIVOTDATA("amount_inr",'Pivot Table'!$A$3,"merchant_name",I477,"Date",M477)</f>
        <v>49</v>
      </c>
      <c r="P477" s="17" t="str">
        <f t="shared" si="22"/>
        <v>Standard</v>
      </c>
    </row>
    <row r="478" spans="1:16">
      <c r="A478" s="17" t="s">
        <v>491</v>
      </c>
      <c r="B478" s="17">
        <v>144</v>
      </c>
      <c r="C478" s="17">
        <v>35</v>
      </c>
      <c r="D478" s="18">
        <v>46024.1131944444</v>
      </c>
      <c r="E478" s="17">
        <v>1499</v>
      </c>
      <c r="F478" s="17" t="s">
        <v>12</v>
      </c>
      <c r="G478" s="17" t="s">
        <v>10</v>
      </c>
      <c r="H478" s="17">
        <v>72</v>
      </c>
      <c r="I478" s="17" t="str">
        <f>IFERROR(VLOOKUP(C478,Merchants!$A$2:$D$41,2,FALSE),"Merchant not found")</f>
        <v>Merchant_035</v>
      </c>
      <c r="J478" s="17" t="str">
        <f>IFERROR(VLOOKUP(C478,Merchants!$A$2:$D$41,3,FALSE),"Merchant not found")</f>
        <v>recharge</v>
      </c>
      <c r="K478" s="17" t="str">
        <f>IFERROR(VLOOKUP(C478,Merchants!$A$2:$D$41,4,FALSE),"Merchant not found")</f>
        <v>East</v>
      </c>
      <c r="L478" s="19">
        <f>_xlfn.IFNA(HLOOKUP(F478,'MDR Rates'!$C$1:$F$2,2,FALSE),"N/A")</f>
        <v>0</v>
      </c>
      <c r="M478" s="20">
        <f t="shared" si="21"/>
        <v>46024</v>
      </c>
      <c r="N478" s="17">
        <f t="shared" si="23"/>
        <v>1847</v>
      </c>
      <c r="O478" s="17">
        <f>GETPIVOTDATA("amount_inr",'Pivot Table'!$A$3,"merchant_name",I478,"Date",M478)</f>
        <v>1847</v>
      </c>
      <c r="P478" s="17" t="str">
        <f t="shared" si="22"/>
        <v>Standard</v>
      </c>
    </row>
    <row r="479" spans="1:16">
      <c r="A479" s="17" t="s">
        <v>492</v>
      </c>
      <c r="B479" s="17">
        <v>162</v>
      </c>
      <c r="C479" s="17">
        <v>2</v>
      </c>
      <c r="D479" s="18">
        <v>46044.0493055556</v>
      </c>
      <c r="E479" s="17">
        <v>299</v>
      </c>
      <c r="F479" s="17" t="s">
        <v>9</v>
      </c>
      <c r="G479" s="17" t="s">
        <v>10</v>
      </c>
      <c r="H479" s="17">
        <v>26</v>
      </c>
      <c r="I479" s="17" t="str">
        <f>IFERROR(VLOOKUP(C479,Merchants!$A$2:$D$41,2,FALSE),"Merchant not found")</f>
        <v>Merchant_002</v>
      </c>
      <c r="J479" s="17" t="str">
        <f>IFERROR(VLOOKUP(C479,Merchants!$A$2:$D$41,3,FALSE),"Merchant not found")</f>
        <v>grocery</v>
      </c>
      <c r="K479" s="17" t="str">
        <f>IFERROR(VLOOKUP(C479,Merchants!$A$2:$D$41,4,FALSE),"Merchant not found")</f>
        <v>West</v>
      </c>
      <c r="L479" s="19">
        <f>_xlfn.IFNA(HLOOKUP(F479,'MDR Rates'!$C$1:$F$2,2,FALSE),"N/A")</f>
        <v>0.01</v>
      </c>
      <c r="M479" s="20">
        <f t="shared" si="21"/>
        <v>46044</v>
      </c>
      <c r="N479" s="17">
        <f t="shared" si="23"/>
        <v>299</v>
      </c>
      <c r="O479" s="17">
        <f>GETPIVOTDATA("amount_inr",'Pivot Table'!$A$3,"merchant_name",I479,"Date",M479)</f>
        <v>299</v>
      </c>
      <c r="P479" s="17" t="str">
        <f t="shared" si="22"/>
        <v>Standard</v>
      </c>
    </row>
    <row r="480" spans="1:16">
      <c r="A480" s="17" t="s">
        <v>493</v>
      </c>
      <c r="B480" s="17">
        <v>204</v>
      </c>
      <c r="C480" s="17">
        <v>5</v>
      </c>
      <c r="D480" s="18">
        <v>46041.2</v>
      </c>
      <c r="E480" s="17">
        <v>49</v>
      </c>
      <c r="F480" s="17" t="s">
        <v>12</v>
      </c>
      <c r="G480" s="17" t="s">
        <v>10</v>
      </c>
      <c r="H480" s="17">
        <v>38</v>
      </c>
      <c r="I480" s="17" t="str">
        <f>IFERROR(VLOOKUP(C480,Merchants!$A$2:$D$41,2,FALSE),"Merchant not found")</f>
        <v>Merchant_005</v>
      </c>
      <c r="J480" s="17" t="str">
        <f>IFERROR(VLOOKUP(C480,Merchants!$A$2:$D$41,3,FALSE),"Merchant not found")</f>
        <v>recharge</v>
      </c>
      <c r="K480" s="17" t="str">
        <f>IFERROR(VLOOKUP(C480,Merchants!$A$2:$D$41,4,FALSE),"Merchant not found")</f>
        <v>South</v>
      </c>
      <c r="L480" s="19">
        <f>_xlfn.IFNA(HLOOKUP(F480,'MDR Rates'!$C$1:$F$2,2,FALSE),"N/A")</f>
        <v>0</v>
      </c>
      <c r="M480" s="20">
        <f t="shared" si="21"/>
        <v>46041</v>
      </c>
      <c r="N480" s="17">
        <f t="shared" si="23"/>
        <v>49</v>
      </c>
      <c r="O480" s="17">
        <f>GETPIVOTDATA("amount_inr",'Pivot Table'!$A$3,"merchant_name",I480,"Date",M480)</f>
        <v>49</v>
      </c>
      <c r="P480" s="17" t="str">
        <f t="shared" si="22"/>
        <v>Standard</v>
      </c>
    </row>
    <row r="481" spans="1:16">
      <c r="A481" s="17" t="s">
        <v>494</v>
      </c>
      <c r="B481" s="17">
        <v>291</v>
      </c>
      <c r="C481" s="17">
        <v>25</v>
      </c>
      <c r="D481" s="18">
        <v>46028.7604166667</v>
      </c>
      <c r="E481" s="17">
        <v>99</v>
      </c>
      <c r="F481" s="17" t="s">
        <v>9</v>
      </c>
      <c r="G481" s="17" t="s">
        <v>10</v>
      </c>
      <c r="H481" s="17">
        <v>86</v>
      </c>
      <c r="I481" s="17" t="str">
        <f>IFERROR(VLOOKUP(C481,Merchants!$A$2:$D$41,2,FALSE),"Merchant not found")</f>
        <v>Merchant_025</v>
      </c>
      <c r="J481" s="17" t="str">
        <f>IFERROR(VLOOKUP(C481,Merchants!$A$2:$D$41,3,FALSE),"Merchant not found")</f>
        <v>travel</v>
      </c>
      <c r="K481" s="17" t="str">
        <f>IFERROR(VLOOKUP(C481,Merchants!$A$2:$D$41,4,FALSE),"Merchant not found")</f>
        <v>South</v>
      </c>
      <c r="L481" s="19">
        <f>_xlfn.IFNA(HLOOKUP(F481,'MDR Rates'!$C$1:$F$2,2,FALSE),"N/A")</f>
        <v>0.01</v>
      </c>
      <c r="M481" s="20">
        <f t="shared" si="21"/>
        <v>46028</v>
      </c>
      <c r="N481" s="17">
        <f t="shared" si="23"/>
        <v>898</v>
      </c>
      <c r="O481" s="17">
        <f>GETPIVOTDATA("amount_inr",'Pivot Table'!$A$3,"merchant_name",I481,"Date",M481)</f>
        <v>898</v>
      </c>
      <c r="P481" s="17" t="str">
        <f t="shared" si="22"/>
        <v>Standard</v>
      </c>
    </row>
    <row r="482" spans="1:16">
      <c r="A482" s="17" t="s">
        <v>495</v>
      </c>
      <c r="B482" s="17">
        <v>197</v>
      </c>
      <c r="C482" s="17">
        <v>9</v>
      </c>
      <c r="D482" s="18">
        <v>46051.7229166667</v>
      </c>
      <c r="E482" s="17">
        <v>49</v>
      </c>
      <c r="F482" s="17" t="s">
        <v>9</v>
      </c>
      <c r="G482" s="17" t="s">
        <v>25</v>
      </c>
      <c r="H482" s="17">
        <v>88</v>
      </c>
      <c r="I482" s="17" t="str">
        <f>IFERROR(VLOOKUP(C482,Merchants!$A$2:$D$41,2,FALSE),"Merchant not found")</f>
        <v>Merchant_009</v>
      </c>
      <c r="J482" s="17" t="str">
        <f>IFERROR(VLOOKUP(C482,Merchants!$A$2:$D$41,3,FALSE),"Merchant not found")</f>
        <v>ecommerce</v>
      </c>
      <c r="K482" s="17" t="str">
        <f>IFERROR(VLOOKUP(C482,Merchants!$A$2:$D$41,4,FALSE),"Merchant not found")</f>
        <v>North</v>
      </c>
      <c r="L482" s="19">
        <f>_xlfn.IFNA(HLOOKUP(F482,'MDR Rates'!$C$1:$F$2,2,FALSE),"N/A")</f>
        <v>0.01</v>
      </c>
      <c r="M482" s="20">
        <f t="shared" si="21"/>
        <v>46051</v>
      </c>
      <c r="N482" s="17">
        <f t="shared" si="23"/>
        <v>49</v>
      </c>
      <c r="O482" s="17">
        <f>GETPIVOTDATA("amount_inr",'Pivot Table'!$A$3,"merchant_name",I482,"Date",M482)</f>
        <v>49</v>
      </c>
      <c r="P482" s="17" t="str">
        <f t="shared" si="22"/>
        <v>Standard</v>
      </c>
    </row>
    <row r="483" spans="1:16">
      <c r="A483" s="17" t="s">
        <v>496</v>
      </c>
      <c r="B483" s="17">
        <v>178</v>
      </c>
      <c r="C483" s="17">
        <v>4</v>
      </c>
      <c r="D483" s="18">
        <v>46046.1055555556</v>
      </c>
      <c r="E483" s="17">
        <v>1499</v>
      </c>
      <c r="F483" s="17" t="s">
        <v>12</v>
      </c>
      <c r="G483" s="17" t="s">
        <v>10</v>
      </c>
      <c r="H483" s="17">
        <v>12</v>
      </c>
      <c r="I483" s="17" t="str">
        <f>IFERROR(VLOOKUP(C483,Merchants!$A$2:$D$41,2,FALSE),"Merchant not found")</f>
        <v>Merchant_004</v>
      </c>
      <c r="J483" s="17" t="str">
        <f>IFERROR(VLOOKUP(C483,Merchants!$A$2:$D$41,3,FALSE),"Merchant not found")</f>
        <v>ecommerce</v>
      </c>
      <c r="K483" s="17" t="str">
        <f>IFERROR(VLOOKUP(C483,Merchants!$A$2:$D$41,4,FALSE),"Merchant not found")</f>
        <v>East</v>
      </c>
      <c r="L483" s="19">
        <f>_xlfn.IFNA(HLOOKUP(F483,'MDR Rates'!$C$1:$F$2,2,FALSE),"N/A")</f>
        <v>0</v>
      </c>
      <c r="M483" s="20">
        <f t="shared" si="21"/>
        <v>46046</v>
      </c>
      <c r="N483" s="17">
        <f t="shared" si="23"/>
        <v>1499</v>
      </c>
      <c r="O483" s="17">
        <f>GETPIVOTDATA("amount_inr",'Pivot Table'!$A$3,"merchant_name",I483,"Date",M483)</f>
        <v>1499</v>
      </c>
      <c r="P483" s="17" t="str">
        <f t="shared" si="22"/>
        <v>Standard</v>
      </c>
    </row>
    <row r="484" spans="1:16">
      <c r="A484" s="17" t="s">
        <v>497</v>
      </c>
      <c r="B484" s="17">
        <v>39</v>
      </c>
      <c r="C484" s="17">
        <v>22</v>
      </c>
      <c r="D484" s="18">
        <v>46036.3284722222</v>
      </c>
      <c r="E484" s="17">
        <v>799</v>
      </c>
      <c r="F484" s="17" t="s">
        <v>15</v>
      </c>
      <c r="G484" s="17" t="s">
        <v>10</v>
      </c>
      <c r="H484" s="17">
        <v>77</v>
      </c>
      <c r="I484" s="17" t="str">
        <f>IFERROR(VLOOKUP(C484,Merchants!$A$2:$D$41,2,FALSE),"Merchant not found")</f>
        <v>Merchant_022</v>
      </c>
      <c r="J484" s="17" t="str">
        <f>IFERROR(VLOOKUP(C484,Merchants!$A$2:$D$41,3,FALSE),"Merchant not found")</f>
        <v>travel</v>
      </c>
      <c r="K484" s="17" t="str">
        <f>IFERROR(VLOOKUP(C484,Merchants!$A$2:$D$41,4,FALSE),"Merchant not found")</f>
        <v>South</v>
      </c>
      <c r="L484" s="19">
        <f>_xlfn.IFNA(HLOOKUP(F484,'MDR Rates'!$C$1:$F$2,2,FALSE),"N/A")</f>
        <v>0.015</v>
      </c>
      <c r="M484" s="20">
        <f t="shared" si="21"/>
        <v>46036</v>
      </c>
      <c r="N484" s="17">
        <f t="shared" si="23"/>
        <v>799</v>
      </c>
      <c r="O484" s="17">
        <f>GETPIVOTDATA("amount_inr",'Pivot Table'!$A$3,"merchant_name",I484,"Date",M484)</f>
        <v>799</v>
      </c>
      <c r="P484" s="17" t="str">
        <f t="shared" si="22"/>
        <v>Standard</v>
      </c>
    </row>
    <row r="485" spans="1:16">
      <c r="A485" s="17" t="s">
        <v>498</v>
      </c>
      <c r="B485" s="17">
        <v>204</v>
      </c>
      <c r="C485" s="17">
        <v>21</v>
      </c>
      <c r="D485" s="18">
        <v>46047.8180555556</v>
      </c>
      <c r="E485" s="17">
        <v>299</v>
      </c>
      <c r="F485" s="17" t="s">
        <v>9</v>
      </c>
      <c r="G485" s="17" t="s">
        <v>10</v>
      </c>
      <c r="H485" s="17">
        <v>3</v>
      </c>
      <c r="I485" s="17" t="str">
        <f>IFERROR(VLOOKUP(C485,Merchants!$A$2:$D$41,2,FALSE),"Merchant not found")</f>
        <v>Merchant_021</v>
      </c>
      <c r="J485" s="17" t="str">
        <f>IFERROR(VLOOKUP(C485,Merchants!$A$2:$D$41,3,FALSE),"Merchant not found")</f>
        <v>food_delivery</v>
      </c>
      <c r="K485" s="17" t="str">
        <f>IFERROR(VLOOKUP(C485,Merchants!$A$2:$D$41,4,FALSE),"Merchant not found")</f>
        <v>East</v>
      </c>
      <c r="L485" s="19">
        <f>_xlfn.IFNA(HLOOKUP(F485,'MDR Rates'!$C$1:$F$2,2,FALSE),"N/A")</f>
        <v>0.01</v>
      </c>
      <c r="M485" s="20">
        <f t="shared" si="21"/>
        <v>46047</v>
      </c>
      <c r="N485" s="17">
        <f t="shared" si="23"/>
        <v>299</v>
      </c>
      <c r="O485" s="17">
        <f>GETPIVOTDATA("amount_inr",'Pivot Table'!$A$3,"merchant_name",I485,"Date",M485)</f>
        <v>299</v>
      </c>
      <c r="P485" s="17" t="str">
        <f t="shared" si="22"/>
        <v>Standard</v>
      </c>
    </row>
    <row r="486" spans="1:16">
      <c r="A486" s="17" t="s">
        <v>499</v>
      </c>
      <c r="B486" s="17">
        <v>231</v>
      </c>
      <c r="C486" s="17">
        <v>32</v>
      </c>
      <c r="D486" s="18">
        <v>46043.3680555556</v>
      </c>
      <c r="E486" s="17">
        <v>299</v>
      </c>
      <c r="F486" s="17" t="s">
        <v>12</v>
      </c>
      <c r="G486" s="17" t="s">
        <v>10</v>
      </c>
      <c r="H486" s="17">
        <v>29</v>
      </c>
      <c r="I486" s="17" t="str">
        <f>IFERROR(VLOOKUP(C486,Merchants!$A$2:$D$41,2,FALSE),"Merchant not found")</f>
        <v>Merchant_032</v>
      </c>
      <c r="J486" s="17" t="str">
        <f>IFERROR(VLOOKUP(C486,Merchants!$A$2:$D$41,3,FALSE),"Merchant not found")</f>
        <v>food_delivery</v>
      </c>
      <c r="K486" s="17" t="str">
        <f>IFERROR(VLOOKUP(C486,Merchants!$A$2:$D$41,4,FALSE),"Merchant not found")</f>
        <v>West</v>
      </c>
      <c r="L486" s="19">
        <f>_xlfn.IFNA(HLOOKUP(F486,'MDR Rates'!$C$1:$F$2,2,FALSE),"N/A")</f>
        <v>0</v>
      </c>
      <c r="M486" s="20">
        <f t="shared" si="21"/>
        <v>46043</v>
      </c>
      <c r="N486" s="17">
        <f t="shared" si="23"/>
        <v>348</v>
      </c>
      <c r="O486" s="17">
        <f>GETPIVOTDATA("amount_inr",'Pivot Table'!$A$3,"merchant_name",I486,"Date",M486)</f>
        <v>348</v>
      </c>
      <c r="P486" s="17" t="str">
        <f t="shared" si="22"/>
        <v>Standard</v>
      </c>
    </row>
    <row r="487" spans="1:16">
      <c r="A487" s="17" t="s">
        <v>500</v>
      </c>
      <c r="B487" s="17">
        <v>222</v>
      </c>
      <c r="C487" s="17">
        <v>12</v>
      </c>
      <c r="D487" s="18">
        <v>46034.725</v>
      </c>
      <c r="E487" s="17">
        <v>499</v>
      </c>
      <c r="F487" s="17" t="s">
        <v>9</v>
      </c>
      <c r="G487" s="17" t="s">
        <v>25</v>
      </c>
      <c r="H487" s="17">
        <v>87</v>
      </c>
      <c r="I487" s="17" t="str">
        <f>IFERROR(VLOOKUP(C487,Merchants!$A$2:$D$41,2,FALSE),"Merchant not found")</f>
        <v>Merchant_012</v>
      </c>
      <c r="J487" s="17" t="str">
        <f>IFERROR(VLOOKUP(C487,Merchants!$A$2:$D$41,3,FALSE),"Merchant not found")</f>
        <v>ecommerce</v>
      </c>
      <c r="K487" s="17" t="str">
        <f>IFERROR(VLOOKUP(C487,Merchants!$A$2:$D$41,4,FALSE),"Merchant not found")</f>
        <v>East</v>
      </c>
      <c r="L487" s="19">
        <f>_xlfn.IFNA(HLOOKUP(F487,'MDR Rates'!$C$1:$F$2,2,FALSE),"N/A")</f>
        <v>0.01</v>
      </c>
      <c r="M487" s="20">
        <f t="shared" si="21"/>
        <v>46034</v>
      </c>
      <c r="N487" s="17">
        <f t="shared" si="23"/>
        <v>1998</v>
      </c>
      <c r="O487" s="17">
        <f>GETPIVOTDATA("amount_inr",'Pivot Table'!$A$3,"merchant_name",I487,"Date",M487)</f>
        <v>1998</v>
      </c>
      <c r="P487" s="17" t="str">
        <f t="shared" si="22"/>
        <v>Standard</v>
      </c>
    </row>
    <row r="488" spans="1:16">
      <c r="A488" s="17" t="s">
        <v>501</v>
      </c>
      <c r="B488" s="17">
        <v>44</v>
      </c>
      <c r="C488" s="17">
        <v>40</v>
      </c>
      <c r="D488" s="18">
        <v>46041.8916666667</v>
      </c>
      <c r="E488" s="17">
        <v>499</v>
      </c>
      <c r="F488" s="17" t="s">
        <v>12</v>
      </c>
      <c r="G488" s="17" t="s">
        <v>10</v>
      </c>
      <c r="H488" s="17">
        <v>37</v>
      </c>
      <c r="I488" s="17" t="str">
        <f>IFERROR(VLOOKUP(C488,Merchants!$A$2:$D$41,2,FALSE),"Merchant not found")</f>
        <v>Merchant_040</v>
      </c>
      <c r="J488" s="17" t="str">
        <f>IFERROR(VLOOKUP(C488,Merchants!$A$2:$D$41,3,FALSE),"Merchant not found")</f>
        <v>entertainment</v>
      </c>
      <c r="K488" s="17" t="str">
        <f>IFERROR(VLOOKUP(C488,Merchants!$A$2:$D$41,4,FALSE),"Merchant not found")</f>
        <v>South</v>
      </c>
      <c r="L488" s="19">
        <f>_xlfn.IFNA(HLOOKUP(F488,'MDR Rates'!$C$1:$F$2,2,FALSE),"N/A")</f>
        <v>0</v>
      </c>
      <c r="M488" s="20">
        <f t="shared" si="21"/>
        <v>46041</v>
      </c>
      <c r="N488" s="17">
        <f t="shared" si="23"/>
        <v>648</v>
      </c>
      <c r="O488" s="17">
        <f>GETPIVOTDATA("amount_inr",'Pivot Table'!$A$3,"merchant_name",I488,"Date",M488)</f>
        <v>648</v>
      </c>
      <c r="P488" s="17" t="str">
        <f t="shared" si="22"/>
        <v>Standard</v>
      </c>
    </row>
    <row r="489" spans="1:16">
      <c r="A489" s="17" t="s">
        <v>502</v>
      </c>
      <c r="B489" s="17">
        <v>38</v>
      </c>
      <c r="C489" s="17">
        <v>6</v>
      </c>
      <c r="D489" s="18">
        <v>46048.3229166667</v>
      </c>
      <c r="E489" s="17">
        <v>49</v>
      </c>
      <c r="F489" s="17" t="s">
        <v>9</v>
      </c>
      <c r="G489" s="17" t="s">
        <v>10</v>
      </c>
      <c r="H489" s="17">
        <v>34</v>
      </c>
      <c r="I489" s="17" t="str">
        <f>IFERROR(VLOOKUP(C489,Merchants!$A$2:$D$41,2,FALSE),"Merchant not found")</f>
        <v>Merchant_006</v>
      </c>
      <c r="J489" s="17" t="str">
        <f>IFERROR(VLOOKUP(C489,Merchants!$A$2:$D$41,3,FALSE),"Merchant not found")</f>
        <v>food_delivery</v>
      </c>
      <c r="K489" s="17" t="str">
        <f>IFERROR(VLOOKUP(C489,Merchants!$A$2:$D$41,4,FALSE),"Merchant not found")</f>
        <v>South</v>
      </c>
      <c r="L489" s="19">
        <f>_xlfn.IFNA(HLOOKUP(F489,'MDR Rates'!$C$1:$F$2,2,FALSE),"N/A")</f>
        <v>0.01</v>
      </c>
      <c r="M489" s="20">
        <f t="shared" si="21"/>
        <v>46048</v>
      </c>
      <c r="N489" s="17">
        <f t="shared" si="23"/>
        <v>897</v>
      </c>
      <c r="O489" s="17">
        <f>GETPIVOTDATA("amount_inr",'Pivot Table'!$A$3,"merchant_name",I489,"Date",M489)</f>
        <v>897</v>
      </c>
      <c r="P489" s="17" t="str">
        <f t="shared" si="22"/>
        <v>Standard</v>
      </c>
    </row>
    <row r="490" spans="1:16">
      <c r="A490" s="17" t="s">
        <v>503</v>
      </c>
      <c r="B490" s="17">
        <v>325</v>
      </c>
      <c r="C490" s="17">
        <v>10</v>
      </c>
      <c r="D490" s="18">
        <v>46027.53125</v>
      </c>
      <c r="E490" s="17">
        <v>49</v>
      </c>
      <c r="F490" s="17" t="s">
        <v>15</v>
      </c>
      <c r="G490" s="17" t="s">
        <v>38</v>
      </c>
      <c r="H490" s="17">
        <v>94</v>
      </c>
      <c r="I490" s="17" t="str">
        <f>IFERROR(VLOOKUP(C490,Merchants!$A$2:$D$41,2,FALSE),"Merchant not found")</f>
        <v>Merchant_010</v>
      </c>
      <c r="J490" s="17" t="str">
        <f>IFERROR(VLOOKUP(C490,Merchants!$A$2:$D$41,3,FALSE),"Merchant not found")</f>
        <v>grocery</v>
      </c>
      <c r="K490" s="17" t="str">
        <f>IFERROR(VLOOKUP(C490,Merchants!$A$2:$D$41,4,FALSE),"Merchant not found")</f>
        <v>West</v>
      </c>
      <c r="L490" s="19">
        <f>_xlfn.IFNA(HLOOKUP(F490,'MDR Rates'!$C$1:$F$2,2,FALSE),"N/A")</f>
        <v>0.015</v>
      </c>
      <c r="M490" s="20">
        <f t="shared" si="21"/>
        <v>46027</v>
      </c>
      <c r="N490" s="17">
        <f t="shared" si="23"/>
        <v>49</v>
      </c>
      <c r="O490" s="17">
        <f>GETPIVOTDATA("amount_inr",'Pivot Table'!$A$3,"merchant_name",I490,"Date",M490)</f>
        <v>49</v>
      </c>
      <c r="P490" s="17" t="str">
        <f t="shared" si="22"/>
        <v>Standard</v>
      </c>
    </row>
    <row r="491" spans="1:16">
      <c r="A491" s="17" t="s">
        <v>504</v>
      </c>
      <c r="B491" s="17">
        <v>55</v>
      </c>
      <c r="C491" s="17">
        <v>6</v>
      </c>
      <c r="D491" s="18">
        <v>46035.4326388889</v>
      </c>
      <c r="E491" s="17">
        <v>1499</v>
      </c>
      <c r="F491" s="17" t="s">
        <v>24</v>
      </c>
      <c r="G491" s="17" t="s">
        <v>10</v>
      </c>
      <c r="H491" s="17">
        <v>0</v>
      </c>
      <c r="I491" s="17" t="str">
        <f>IFERROR(VLOOKUP(C491,Merchants!$A$2:$D$41,2,FALSE),"Merchant not found")</f>
        <v>Merchant_006</v>
      </c>
      <c r="J491" s="17" t="str">
        <f>IFERROR(VLOOKUP(C491,Merchants!$A$2:$D$41,3,FALSE),"Merchant not found")</f>
        <v>food_delivery</v>
      </c>
      <c r="K491" s="17" t="str">
        <f>IFERROR(VLOOKUP(C491,Merchants!$A$2:$D$41,4,FALSE),"Merchant not found")</f>
        <v>South</v>
      </c>
      <c r="L491" s="19">
        <f>_xlfn.IFNA(HLOOKUP(F491,'MDR Rates'!$C$1:$F$2,2,FALSE),"N/A")</f>
        <v>0.02</v>
      </c>
      <c r="M491" s="20">
        <f t="shared" si="21"/>
        <v>46035</v>
      </c>
      <c r="N491" s="17">
        <f t="shared" si="23"/>
        <v>1499</v>
      </c>
      <c r="O491" s="17">
        <f>GETPIVOTDATA("amount_inr",'Pivot Table'!$A$3,"merchant_name",I491,"Date",M491)</f>
        <v>1499</v>
      </c>
      <c r="P491" s="17" t="str">
        <f t="shared" si="22"/>
        <v>Standard</v>
      </c>
    </row>
    <row r="492" spans="1:16">
      <c r="A492" s="17" t="s">
        <v>505</v>
      </c>
      <c r="B492" s="17">
        <v>139</v>
      </c>
      <c r="C492" s="17">
        <v>7</v>
      </c>
      <c r="D492" s="18">
        <v>46032.5993055556</v>
      </c>
      <c r="E492" s="17">
        <v>499</v>
      </c>
      <c r="F492" s="17" t="s">
        <v>24</v>
      </c>
      <c r="G492" s="17" t="s">
        <v>10</v>
      </c>
      <c r="H492" s="17">
        <v>16</v>
      </c>
      <c r="I492" s="17" t="str">
        <f>IFERROR(VLOOKUP(C492,Merchants!$A$2:$D$41,2,FALSE),"Merchant not found")</f>
        <v>Merchant_007</v>
      </c>
      <c r="J492" s="17" t="str">
        <f>IFERROR(VLOOKUP(C492,Merchants!$A$2:$D$41,3,FALSE),"Merchant not found")</f>
        <v>food_delivery</v>
      </c>
      <c r="K492" s="17" t="str">
        <f>IFERROR(VLOOKUP(C492,Merchants!$A$2:$D$41,4,FALSE),"Merchant not found")</f>
        <v>East</v>
      </c>
      <c r="L492" s="19">
        <f>_xlfn.IFNA(HLOOKUP(F492,'MDR Rates'!$C$1:$F$2,2,FALSE),"N/A")</f>
        <v>0.02</v>
      </c>
      <c r="M492" s="20">
        <f t="shared" si="21"/>
        <v>46032</v>
      </c>
      <c r="N492" s="17">
        <f t="shared" si="23"/>
        <v>499</v>
      </c>
      <c r="O492" s="17">
        <f>GETPIVOTDATA("amount_inr",'Pivot Table'!$A$3,"merchant_name",I492,"Date",M492)</f>
        <v>499</v>
      </c>
      <c r="P492" s="17" t="str">
        <f t="shared" si="22"/>
        <v>Standard</v>
      </c>
    </row>
    <row r="493" spans="1:16">
      <c r="A493" s="17" t="s">
        <v>506</v>
      </c>
      <c r="B493" s="17">
        <v>230</v>
      </c>
      <c r="C493" s="17">
        <v>36</v>
      </c>
      <c r="D493" s="18">
        <v>46025.2270833333</v>
      </c>
      <c r="E493" s="17">
        <v>99</v>
      </c>
      <c r="F493" s="17" t="s">
        <v>9</v>
      </c>
      <c r="G493" s="17" t="s">
        <v>10</v>
      </c>
      <c r="H493" s="17">
        <v>71</v>
      </c>
      <c r="I493" s="17" t="str">
        <f>IFERROR(VLOOKUP(C493,Merchants!$A$2:$D$41,2,FALSE),"Merchant not found")</f>
        <v>Merchant_036</v>
      </c>
      <c r="J493" s="17" t="str">
        <f>IFERROR(VLOOKUP(C493,Merchants!$A$2:$D$41,3,FALSE),"Merchant not found")</f>
        <v>entertainment</v>
      </c>
      <c r="K493" s="17" t="str">
        <f>IFERROR(VLOOKUP(C493,Merchants!$A$2:$D$41,4,FALSE),"Merchant not found")</f>
        <v>East</v>
      </c>
      <c r="L493" s="19">
        <f>_xlfn.IFNA(HLOOKUP(F493,'MDR Rates'!$C$1:$F$2,2,FALSE),"N/A")</f>
        <v>0.01</v>
      </c>
      <c r="M493" s="20">
        <f t="shared" si="21"/>
        <v>46025</v>
      </c>
      <c r="N493" s="17">
        <f t="shared" si="23"/>
        <v>248</v>
      </c>
      <c r="O493" s="17">
        <f>GETPIVOTDATA("amount_inr",'Pivot Table'!$A$3,"merchant_name",I493,"Date",M493)</f>
        <v>248</v>
      </c>
      <c r="P493" s="17" t="str">
        <f t="shared" si="22"/>
        <v>Standard</v>
      </c>
    </row>
    <row r="494" spans="1:16">
      <c r="A494" s="17" t="s">
        <v>507</v>
      </c>
      <c r="B494" s="17">
        <v>14</v>
      </c>
      <c r="C494" s="17">
        <v>6</v>
      </c>
      <c r="D494" s="18">
        <v>46039.5458333333</v>
      </c>
      <c r="E494" s="17">
        <v>799</v>
      </c>
      <c r="F494" s="17" t="s">
        <v>24</v>
      </c>
      <c r="G494" s="17" t="s">
        <v>10</v>
      </c>
      <c r="H494" s="17">
        <v>45</v>
      </c>
      <c r="I494" s="17" t="str">
        <f>IFERROR(VLOOKUP(C494,Merchants!$A$2:$D$41,2,FALSE),"Merchant not found")</f>
        <v>Merchant_006</v>
      </c>
      <c r="J494" s="17" t="str">
        <f>IFERROR(VLOOKUP(C494,Merchants!$A$2:$D$41,3,FALSE),"Merchant not found")</f>
        <v>food_delivery</v>
      </c>
      <c r="K494" s="17" t="str">
        <f>IFERROR(VLOOKUP(C494,Merchants!$A$2:$D$41,4,FALSE),"Merchant not found")</f>
        <v>South</v>
      </c>
      <c r="L494" s="19">
        <f>_xlfn.IFNA(HLOOKUP(F494,'MDR Rates'!$C$1:$F$2,2,FALSE),"N/A")</f>
        <v>0.02</v>
      </c>
      <c r="M494" s="20">
        <f t="shared" si="21"/>
        <v>46039</v>
      </c>
      <c r="N494" s="17">
        <f t="shared" si="23"/>
        <v>799</v>
      </c>
      <c r="O494" s="17">
        <f>GETPIVOTDATA("amount_inr",'Pivot Table'!$A$3,"merchant_name",I494,"Date",M494)</f>
        <v>799</v>
      </c>
      <c r="P494" s="17" t="str">
        <f t="shared" si="22"/>
        <v>Standard</v>
      </c>
    </row>
    <row r="495" spans="1:16">
      <c r="A495" s="17" t="s">
        <v>508</v>
      </c>
      <c r="B495" s="17">
        <v>307</v>
      </c>
      <c r="C495" s="17">
        <v>21</v>
      </c>
      <c r="D495" s="18">
        <v>46040.1097222222</v>
      </c>
      <c r="E495" s="17">
        <v>799</v>
      </c>
      <c r="F495" s="17" t="s">
        <v>12</v>
      </c>
      <c r="G495" s="17" t="s">
        <v>10</v>
      </c>
      <c r="H495" s="17">
        <v>49</v>
      </c>
      <c r="I495" s="17" t="str">
        <f>IFERROR(VLOOKUP(C495,Merchants!$A$2:$D$41,2,FALSE),"Merchant not found")</f>
        <v>Merchant_021</v>
      </c>
      <c r="J495" s="17" t="str">
        <f>IFERROR(VLOOKUP(C495,Merchants!$A$2:$D$41,3,FALSE),"Merchant not found")</f>
        <v>food_delivery</v>
      </c>
      <c r="K495" s="17" t="str">
        <f>IFERROR(VLOOKUP(C495,Merchants!$A$2:$D$41,4,FALSE),"Merchant not found")</f>
        <v>East</v>
      </c>
      <c r="L495" s="19">
        <f>_xlfn.IFNA(HLOOKUP(F495,'MDR Rates'!$C$1:$F$2,2,FALSE),"N/A")</f>
        <v>0</v>
      </c>
      <c r="M495" s="20">
        <f t="shared" si="21"/>
        <v>46040</v>
      </c>
      <c r="N495" s="17">
        <f t="shared" si="23"/>
        <v>799</v>
      </c>
      <c r="O495" s="17">
        <f>GETPIVOTDATA("amount_inr",'Pivot Table'!$A$3,"merchant_name",I495,"Date",M495)</f>
        <v>799</v>
      </c>
      <c r="P495" s="17" t="str">
        <f t="shared" si="22"/>
        <v>Standard</v>
      </c>
    </row>
    <row r="496" spans="1:16">
      <c r="A496" s="17" t="s">
        <v>509</v>
      </c>
      <c r="B496" s="17">
        <v>199</v>
      </c>
      <c r="C496" s="17">
        <v>6</v>
      </c>
      <c r="D496" s="18">
        <v>46023.3930555556</v>
      </c>
      <c r="E496" s="17">
        <v>49</v>
      </c>
      <c r="F496" s="17" t="s">
        <v>12</v>
      </c>
      <c r="G496" s="17" t="s">
        <v>10</v>
      </c>
      <c r="H496" s="17">
        <v>92</v>
      </c>
      <c r="I496" s="17" t="str">
        <f>IFERROR(VLOOKUP(C496,Merchants!$A$2:$D$41,2,FALSE),"Merchant not found")</f>
        <v>Merchant_006</v>
      </c>
      <c r="J496" s="17" t="str">
        <f>IFERROR(VLOOKUP(C496,Merchants!$A$2:$D$41,3,FALSE),"Merchant not found")</f>
        <v>food_delivery</v>
      </c>
      <c r="K496" s="17" t="str">
        <f>IFERROR(VLOOKUP(C496,Merchants!$A$2:$D$41,4,FALSE),"Merchant not found")</f>
        <v>South</v>
      </c>
      <c r="L496" s="19">
        <f>_xlfn.IFNA(HLOOKUP(F496,'MDR Rates'!$C$1:$F$2,2,FALSE),"N/A")</f>
        <v>0</v>
      </c>
      <c r="M496" s="20">
        <f t="shared" si="21"/>
        <v>46023</v>
      </c>
      <c r="N496" s="17">
        <f t="shared" si="23"/>
        <v>49</v>
      </c>
      <c r="O496" s="17">
        <f>GETPIVOTDATA("amount_inr",'Pivot Table'!$A$3,"merchant_name",I496,"Date",M496)</f>
        <v>49</v>
      </c>
      <c r="P496" s="17" t="str">
        <f t="shared" si="22"/>
        <v>Standard</v>
      </c>
    </row>
    <row r="497" spans="1:16">
      <c r="A497" s="17" t="s">
        <v>510</v>
      </c>
      <c r="B497" s="17">
        <v>125</v>
      </c>
      <c r="C497" s="17">
        <v>37</v>
      </c>
      <c r="D497" s="18">
        <v>46051.7479166667</v>
      </c>
      <c r="E497" s="17">
        <v>149</v>
      </c>
      <c r="F497" s="17" t="s">
        <v>9</v>
      </c>
      <c r="G497" s="17" t="s">
        <v>10</v>
      </c>
      <c r="H497" s="17">
        <v>66</v>
      </c>
      <c r="I497" s="17" t="str">
        <f>IFERROR(VLOOKUP(C497,Merchants!$A$2:$D$41,2,FALSE),"Merchant not found")</f>
        <v>Merchant_037</v>
      </c>
      <c r="J497" s="17" t="str">
        <f>IFERROR(VLOOKUP(C497,Merchants!$A$2:$D$41,3,FALSE),"Merchant not found")</f>
        <v>entertainment</v>
      </c>
      <c r="K497" s="17" t="str">
        <f>IFERROR(VLOOKUP(C497,Merchants!$A$2:$D$41,4,FALSE),"Merchant not found")</f>
        <v>South</v>
      </c>
      <c r="L497" s="19">
        <f>_xlfn.IFNA(HLOOKUP(F497,'MDR Rates'!$C$1:$F$2,2,FALSE),"N/A")</f>
        <v>0.01</v>
      </c>
      <c r="M497" s="20">
        <f t="shared" si="21"/>
        <v>46051</v>
      </c>
      <c r="N497" s="17">
        <f t="shared" si="23"/>
        <v>149</v>
      </c>
      <c r="O497" s="17">
        <f>GETPIVOTDATA("amount_inr",'Pivot Table'!$A$3,"merchant_name",I497,"Date",M497)</f>
        <v>149</v>
      </c>
      <c r="P497" s="17" t="str">
        <f t="shared" si="22"/>
        <v>Standard</v>
      </c>
    </row>
    <row r="498" spans="1:16">
      <c r="A498" s="17" t="s">
        <v>511</v>
      </c>
      <c r="B498" s="17">
        <v>87</v>
      </c>
      <c r="C498" s="17">
        <v>9</v>
      </c>
      <c r="D498" s="18">
        <v>46028.8916666667</v>
      </c>
      <c r="E498" s="17">
        <v>149</v>
      </c>
      <c r="F498" s="17" t="s">
        <v>12</v>
      </c>
      <c r="G498" s="17" t="s">
        <v>10</v>
      </c>
      <c r="H498" s="17">
        <v>34</v>
      </c>
      <c r="I498" s="17" t="str">
        <f>IFERROR(VLOOKUP(C498,Merchants!$A$2:$D$41,2,FALSE),"Merchant not found")</f>
        <v>Merchant_009</v>
      </c>
      <c r="J498" s="17" t="str">
        <f>IFERROR(VLOOKUP(C498,Merchants!$A$2:$D$41,3,FALSE),"Merchant not found")</f>
        <v>ecommerce</v>
      </c>
      <c r="K498" s="17" t="str">
        <f>IFERROR(VLOOKUP(C498,Merchants!$A$2:$D$41,4,FALSE),"Merchant not found")</f>
        <v>North</v>
      </c>
      <c r="L498" s="19">
        <f>_xlfn.IFNA(HLOOKUP(F498,'MDR Rates'!$C$1:$F$2,2,FALSE),"N/A")</f>
        <v>0</v>
      </c>
      <c r="M498" s="20">
        <f t="shared" si="21"/>
        <v>46028</v>
      </c>
      <c r="N498" s="17">
        <f t="shared" si="23"/>
        <v>149</v>
      </c>
      <c r="O498" s="17">
        <f>GETPIVOTDATA("amount_inr",'Pivot Table'!$A$3,"merchant_name",I498,"Date",M498)</f>
        <v>149</v>
      </c>
      <c r="P498" s="17" t="str">
        <f t="shared" si="22"/>
        <v>Standard</v>
      </c>
    </row>
    <row r="499" spans="1:16">
      <c r="A499" s="17" t="s">
        <v>512</v>
      </c>
      <c r="B499" s="17">
        <v>75</v>
      </c>
      <c r="C499" s="17">
        <v>5</v>
      </c>
      <c r="D499" s="18">
        <v>46032.3548611111</v>
      </c>
      <c r="E499" s="17">
        <v>99</v>
      </c>
      <c r="F499" s="17" t="s">
        <v>12</v>
      </c>
      <c r="G499" s="17" t="s">
        <v>10</v>
      </c>
      <c r="H499" s="17">
        <v>21</v>
      </c>
      <c r="I499" s="17" t="str">
        <f>IFERROR(VLOOKUP(C499,Merchants!$A$2:$D$41,2,FALSE),"Merchant not found")</f>
        <v>Merchant_005</v>
      </c>
      <c r="J499" s="17" t="str">
        <f>IFERROR(VLOOKUP(C499,Merchants!$A$2:$D$41,3,FALSE),"Merchant not found")</f>
        <v>recharge</v>
      </c>
      <c r="K499" s="17" t="str">
        <f>IFERROR(VLOOKUP(C499,Merchants!$A$2:$D$41,4,FALSE),"Merchant not found")</f>
        <v>South</v>
      </c>
      <c r="L499" s="19">
        <f>_xlfn.IFNA(HLOOKUP(F499,'MDR Rates'!$C$1:$F$2,2,FALSE),"N/A")</f>
        <v>0</v>
      </c>
      <c r="M499" s="20">
        <f t="shared" si="21"/>
        <v>46032</v>
      </c>
      <c r="N499" s="17">
        <f t="shared" si="23"/>
        <v>99</v>
      </c>
      <c r="O499" s="17">
        <f>GETPIVOTDATA("amount_inr",'Pivot Table'!$A$3,"merchant_name",I499,"Date",M499)</f>
        <v>99</v>
      </c>
      <c r="P499" s="17" t="str">
        <f t="shared" si="22"/>
        <v>Standard</v>
      </c>
    </row>
    <row r="500" spans="1:16">
      <c r="A500" s="17" t="s">
        <v>513</v>
      </c>
      <c r="B500" s="17">
        <v>154</v>
      </c>
      <c r="C500" s="17">
        <v>31</v>
      </c>
      <c r="D500" s="18">
        <v>46036.3513888889</v>
      </c>
      <c r="E500" s="17">
        <v>499</v>
      </c>
      <c r="F500" s="17" t="s">
        <v>9</v>
      </c>
      <c r="G500" s="17" t="s">
        <v>10</v>
      </c>
      <c r="H500" s="17">
        <v>100</v>
      </c>
      <c r="I500" s="17" t="str">
        <f>IFERROR(VLOOKUP(C500,Merchants!$A$2:$D$41,2,FALSE),"Merchant not found")</f>
        <v>Merchant_031</v>
      </c>
      <c r="J500" s="17" t="str">
        <f>IFERROR(VLOOKUP(C500,Merchants!$A$2:$D$41,3,FALSE),"Merchant not found")</f>
        <v>bill_payment</v>
      </c>
      <c r="K500" s="17" t="str">
        <f>IFERROR(VLOOKUP(C500,Merchants!$A$2:$D$41,4,FALSE),"Merchant not found")</f>
        <v>East</v>
      </c>
      <c r="L500" s="19">
        <f>_xlfn.IFNA(HLOOKUP(F500,'MDR Rates'!$C$1:$F$2,2,FALSE),"N/A")</f>
        <v>0.01</v>
      </c>
      <c r="M500" s="20">
        <f t="shared" si="21"/>
        <v>46036</v>
      </c>
      <c r="N500" s="17">
        <f t="shared" si="23"/>
        <v>499</v>
      </c>
      <c r="O500" s="17">
        <f>GETPIVOTDATA("amount_inr",'Pivot Table'!$A$3,"merchant_name",I500,"Date",M500)</f>
        <v>499</v>
      </c>
      <c r="P500" s="17" t="str">
        <f t="shared" si="22"/>
        <v>Standard</v>
      </c>
    </row>
    <row r="501" spans="1:16">
      <c r="A501" s="17" t="s">
        <v>514</v>
      </c>
      <c r="B501" s="17">
        <v>127</v>
      </c>
      <c r="C501" s="17">
        <v>32</v>
      </c>
      <c r="D501" s="18">
        <v>46025.4694444444</v>
      </c>
      <c r="E501" s="17">
        <v>149</v>
      </c>
      <c r="F501" s="17" t="s">
        <v>24</v>
      </c>
      <c r="G501" s="17" t="s">
        <v>10</v>
      </c>
      <c r="H501" s="17">
        <v>76</v>
      </c>
      <c r="I501" s="17" t="str">
        <f>IFERROR(VLOOKUP(C501,Merchants!$A$2:$D$41,2,FALSE),"Merchant not found")</f>
        <v>Merchant_032</v>
      </c>
      <c r="J501" s="17" t="str">
        <f>IFERROR(VLOOKUP(C501,Merchants!$A$2:$D$41,3,FALSE),"Merchant not found")</f>
        <v>food_delivery</v>
      </c>
      <c r="K501" s="17" t="str">
        <f>IFERROR(VLOOKUP(C501,Merchants!$A$2:$D$41,4,FALSE),"Merchant not found")</f>
        <v>West</v>
      </c>
      <c r="L501" s="19">
        <f>_xlfn.IFNA(HLOOKUP(F501,'MDR Rates'!$C$1:$F$2,2,FALSE),"N/A")</f>
        <v>0.02</v>
      </c>
      <c r="M501" s="20">
        <f t="shared" si="21"/>
        <v>46025</v>
      </c>
      <c r="N501" s="17">
        <f t="shared" si="23"/>
        <v>149</v>
      </c>
      <c r="O501" s="17">
        <f>GETPIVOTDATA("amount_inr",'Pivot Table'!$A$3,"merchant_name",I501,"Date",M501)</f>
        <v>149</v>
      </c>
      <c r="P501" s="17" t="str">
        <f t="shared" si="22"/>
        <v>Standard</v>
      </c>
    </row>
    <row r="502" spans="1:16">
      <c r="A502" s="17" t="s">
        <v>515</v>
      </c>
      <c r="B502" s="17">
        <v>351</v>
      </c>
      <c r="C502" s="17">
        <v>7</v>
      </c>
      <c r="D502" s="18">
        <v>46052.25</v>
      </c>
      <c r="E502" s="17">
        <v>1999</v>
      </c>
      <c r="F502" s="17" t="s">
        <v>24</v>
      </c>
      <c r="G502" s="17" t="s">
        <v>38</v>
      </c>
      <c r="H502" s="17">
        <v>79</v>
      </c>
      <c r="I502" s="17" t="str">
        <f>IFERROR(VLOOKUP(C502,Merchants!$A$2:$D$41,2,FALSE),"Merchant not found")</f>
        <v>Merchant_007</v>
      </c>
      <c r="J502" s="17" t="str">
        <f>IFERROR(VLOOKUP(C502,Merchants!$A$2:$D$41,3,FALSE),"Merchant not found")</f>
        <v>food_delivery</v>
      </c>
      <c r="K502" s="17" t="str">
        <f>IFERROR(VLOOKUP(C502,Merchants!$A$2:$D$41,4,FALSE),"Merchant not found")</f>
        <v>East</v>
      </c>
      <c r="L502" s="19">
        <f>_xlfn.IFNA(HLOOKUP(F502,'MDR Rates'!$C$1:$F$2,2,FALSE),"N/A")</f>
        <v>0.02</v>
      </c>
      <c r="M502" s="20">
        <f t="shared" si="21"/>
        <v>46052</v>
      </c>
      <c r="N502" s="17">
        <f t="shared" si="23"/>
        <v>1999</v>
      </c>
      <c r="O502" s="17">
        <f>GETPIVOTDATA("amount_inr",'Pivot Table'!$A$3,"merchant_name",I502,"Date",M502)</f>
        <v>1999</v>
      </c>
      <c r="P502" s="17" t="str">
        <f t="shared" si="22"/>
        <v>Standard</v>
      </c>
    </row>
    <row r="503" spans="1:16">
      <c r="A503" s="17" t="s">
        <v>516</v>
      </c>
      <c r="B503" s="17">
        <v>352</v>
      </c>
      <c r="C503" s="17">
        <v>40</v>
      </c>
      <c r="D503" s="18">
        <v>46033.5</v>
      </c>
      <c r="E503" s="17">
        <v>4999</v>
      </c>
      <c r="F503" s="17" t="s">
        <v>24</v>
      </c>
      <c r="G503" s="17" t="s">
        <v>38</v>
      </c>
      <c r="H503" s="17">
        <v>95</v>
      </c>
      <c r="I503" s="17" t="str">
        <f>IFERROR(VLOOKUP(C503,Merchants!$A$2:$D$41,2,FALSE),"Merchant not found")</f>
        <v>Merchant_040</v>
      </c>
      <c r="J503" s="17" t="str">
        <f>IFERROR(VLOOKUP(C503,Merchants!$A$2:$D$41,3,FALSE),"Merchant not found")</f>
        <v>entertainment</v>
      </c>
      <c r="K503" s="17" t="str">
        <f>IFERROR(VLOOKUP(C503,Merchants!$A$2:$D$41,4,FALSE),"Merchant not found")</f>
        <v>South</v>
      </c>
      <c r="L503" s="19">
        <f>_xlfn.IFNA(HLOOKUP(F503,'MDR Rates'!$C$1:$F$2,2,FALSE),"N/A")</f>
        <v>0.02</v>
      </c>
      <c r="M503" s="20">
        <f t="shared" si="21"/>
        <v>46033</v>
      </c>
      <c r="N503" s="17">
        <f t="shared" si="23"/>
        <v>4999</v>
      </c>
      <c r="O503" s="17">
        <f>GETPIVOTDATA("amount_inr",'Pivot Table'!$A$3,"merchant_name",I503,"Date",M503)</f>
        <v>4999</v>
      </c>
      <c r="P503" s="17" t="str">
        <f t="shared" si="22"/>
        <v>Standard</v>
      </c>
    </row>
    <row r="504" spans="1:16">
      <c r="A504" s="17" t="s">
        <v>517</v>
      </c>
      <c r="B504" s="17">
        <v>353</v>
      </c>
      <c r="C504" s="17">
        <v>28</v>
      </c>
      <c r="D504" s="18">
        <v>46043.5833333333</v>
      </c>
      <c r="E504" s="17">
        <v>1999</v>
      </c>
      <c r="F504" s="17" t="s">
        <v>24</v>
      </c>
      <c r="G504" s="17" t="s">
        <v>38</v>
      </c>
      <c r="H504" s="17">
        <v>79</v>
      </c>
      <c r="I504" s="17" t="str">
        <f>IFERROR(VLOOKUP(C504,Merchants!$A$2:$D$41,2,FALSE),"Merchant not found")</f>
        <v>Merchant_028</v>
      </c>
      <c r="J504" s="17" t="str">
        <f>IFERROR(VLOOKUP(C504,Merchants!$A$2:$D$41,3,FALSE),"Merchant not found")</f>
        <v>ecommerce</v>
      </c>
      <c r="K504" s="17" t="str">
        <f>IFERROR(VLOOKUP(C504,Merchants!$A$2:$D$41,4,FALSE),"Merchant not found")</f>
        <v>South</v>
      </c>
      <c r="L504" s="19">
        <f>_xlfn.IFNA(HLOOKUP(F504,'MDR Rates'!$C$1:$F$2,2,FALSE),"N/A")</f>
        <v>0.02</v>
      </c>
      <c r="M504" s="20">
        <f t="shared" si="21"/>
        <v>46043</v>
      </c>
      <c r="N504" s="17">
        <f t="shared" si="23"/>
        <v>1999</v>
      </c>
      <c r="O504" s="17">
        <f>GETPIVOTDATA("amount_inr",'Pivot Table'!$A$3,"merchant_name",I504,"Date",M504)</f>
        <v>1999</v>
      </c>
      <c r="P504" s="17" t="str">
        <f t="shared" si="22"/>
        <v>Standard</v>
      </c>
    </row>
    <row r="505" spans="1:16">
      <c r="A505" s="17" t="s">
        <v>518</v>
      </c>
      <c r="B505" s="17">
        <v>354</v>
      </c>
      <c r="C505" s="17">
        <v>13</v>
      </c>
      <c r="D505" s="18">
        <v>46043.7916666667</v>
      </c>
      <c r="E505" s="17">
        <v>4999</v>
      </c>
      <c r="F505" s="17" t="s">
        <v>24</v>
      </c>
      <c r="G505" s="17" t="s">
        <v>38</v>
      </c>
      <c r="H505" s="17">
        <v>80</v>
      </c>
      <c r="I505" s="17" t="str">
        <f>IFERROR(VLOOKUP(C505,Merchants!$A$2:$D$41,2,FALSE),"Merchant not found")</f>
        <v>Merchant_013</v>
      </c>
      <c r="J505" s="17" t="str">
        <f>IFERROR(VLOOKUP(C505,Merchants!$A$2:$D$41,3,FALSE),"Merchant not found")</f>
        <v>travel</v>
      </c>
      <c r="K505" s="17" t="str">
        <f>IFERROR(VLOOKUP(C505,Merchants!$A$2:$D$41,4,FALSE),"Merchant not found")</f>
        <v>East</v>
      </c>
      <c r="L505" s="19">
        <f>_xlfn.IFNA(HLOOKUP(F505,'MDR Rates'!$C$1:$F$2,2,FALSE),"N/A")</f>
        <v>0.02</v>
      </c>
      <c r="M505" s="20">
        <f t="shared" si="21"/>
        <v>46043</v>
      </c>
      <c r="N505" s="17">
        <f t="shared" si="23"/>
        <v>4999</v>
      </c>
      <c r="O505" s="17">
        <f>GETPIVOTDATA("amount_inr",'Pivot Table'!$A$3,"merchant_name",I505,"Date",M505)</f>
        <v>4999</v>
      </c>
      <c r="P505" s="17" t="str">
        <f t="shared" si="22"/>
        <v>Standard</v>
      </c>
    </row>
    <row r="506" spans="1:16">
      <c r="A506" s="17" t="s">
        <v>519</v>
      </c>
      <c r="B506" s="17">
        <v>355</v>
      </c>
      <c r="C506" s="17">
        <v>19</v>
      </c>
      <c r="D506" s="18">
        <v>46038.5</v>
      </c>
      <c r="E506" s="17">
        <v>4999</v>
      </c>
      <c r="F506" s="17" t="s">
        <v>24</v>
      </c>
      <c r="G506" s="17" t="s">
        <v>38</v>
      </c>
      <c r="H506" s="17">
        <v>100</v>
      </c>
      <c r="I506" s="17" t="str">
        <f>IFERROR(VLOOKUP(C506,Merchants!$A$2:$D$41,2,FALSE),"Merchant not found")</f>
        <v>Merchant_019</v>
      </c>
      <c r="J506" s="17" t="str">
        <f>IFERROR(VLOOKUP(C506,Merchants!$A$2:$D$41,3,FALSE),"Merchant not found")</f>
        <v>grocery</v>
      </c>
      <c r="K506" s="17" t="str">
        <f>IFERROR(VLOOKUP(C506,Merchants!$A$2:$D$41,4,FALSE),"Merchant not found")</f>
        <v>North</v>
      </c>
      <c r="L506" s="19">
        <f>_xlfn.IFNA(HLOOKUP(F506,'MDR Rates'!$C$1:$F$2,2,FALSE),"N/A")</f>
        <v>0.02</v>
      </c>
      <c r="M506" s="20">
        <f t="shared" si="21"/>
        <v>46038</v>
      </c>
      <c r="N506" s="17">
        <f t="shared" si="23"/>
        <v>4999</v>
      </c>
      <c r="O506" s="17">
        <f>GETPIVOTDATA("amount_inr",'Pivot Table'!$A$3,"merchant_name",I506,"Date",M506)</f>
        <v>4999</v>
      </c>
      <c r="P506" s="17" t="str">
        <f t="shared" si="22"/>
        <v>Standard</v>
      </c>
    </row>
    <row r="507" spans="1:16">
      <c r="A507" s="17" t="s">
        <v>520</v>
      </c>
      <c r="B507" s="17">
        <v>356</v>
      </c>
      <c r="C507" s="17">
        <v>25</v>
      </c>
      <c r="D507" s="18">
        <v>46051.2916666667</v>
      </c>
      <c r="E507" s="17">
        <v>2999</v>
      </c>
      <c r="F507" s="17" t="s">
        <v>24</v>
      </c>
      <c r="G507" s="17" t="s">
        <v>38</v>
      </c>
      <c r="H507" s="17">
        <v>96</v>
      </c>
      <c r="I507" s="17" t="str">
        <f>IFERROR(VLOOKUP(C507,Merchants!$A$2:$D$41,2,FALSE),"Merchant not found")</f>
        <v>Merchant_025</v>
      </c>
      <c r="J507" s="17" t="str">
        <f>IFERROR(VLOOKUP(C507,Merchants!$A$2:$D$41,3,FALSE),"Merchant not found")</f>
        <v>travel</v>
      </c>
      <c r="K507" s="17" t="str">
        <f>IFERROR(VLOOKUP(C507,Merchants!$A$2:$D$41,4,FALSE),"Merchant not found")</f>
        <v>South</v>
      </c>
      <c r="L507" s="19">
        <f>_xlfn.IFNA(HLOOKUP(F507,'MDR Rates'!$C$1:$F$2,2,FALSE),"N/A")</f>
        <v>0.02</v>
      </c>
      <c r="M507" s="20">
        <f t="shared" si="21"/>
        <v>46051</v>
      </c>
      <c r="N507" s="17">
        <f t="shared" si="23"/>
        <v>3048</v>
      </c>
      <c r="O507" s="17">
        <f>GETPIVOTDATA("amount_inr",'Pivot Table'!$A$3,"merchant_name",I507,"Date",M507)</f>
        <v>3048</v>
      </c>
      <c r="P507" s="17" t="str">
        <f t="shared" si="22"/>
        <v>Standard</v>
      </c>
    </row>
    <row r="508" spans="1:16">
      <c r="A508" s="17" t="s">
        <v>521</v>
      </c>
      <c r="B508" s="17">
        <v>357</v>
      </c>
      <c r="C508" s="17">
        <v>37</v>
      </c>
      <c r="D508" s="18">
        <v>46045.4583333333</v>
      </c>
      <c r="E508" s="17">
        <v>1999</v>
      </c>
      <c r="F508" s="17" t="s">
        <v>24</v>
      </c>
      <c r="G508" s="17" t="s">
        <v>38</v>
      </c>
      <c r="H508" s="17">
        <v>88</v>
      </c>
      <c r="I508" s="17" t="str">
        <f>IFERROR(VLOOKUP(C508,Merchants!$A$2:$D$41,2,FALSE),"Merchant not found")</f>
        <v>Merchant_037</v>
      </c>
      <c r="J508" s="17" t="str">
        <f>IFERROR(VLOOKUP(C508,Merchants!$A$2:$D$41,3,FALSE),"Merchant not found")</f>
        <v>entertainment</v>
      </c>
      <c r="K508" s="17" t="str">
        <f>IFERROR(VLOOKUP(C508,Merchants!$A$2:$D$41,4,FALSE),"Merchant not found")</f>
        <v>South</v>
      </c>
      <c r="L508" s="19">
        <f>_xlfn.IFNA(HLOOKUP(F508,'MDR Rates'!$C$1:$F$2,2,FALSE),"N/A")</f>
        <v>0.02</v>
      </c>
      <c r="M508" s="20">
        <f t="shared" si="21"/>
        <v>46045</v>
      </c>
      <c r="N508" s="17">
        <f t="shared" si="23"/>
        <v>1999</v>
      </c>
      <c r="O508" s="17">
        <f>GETPIVOTDATA("amount_inr",'Pivot Table'!$A$3,"merchant_name",I508,"Date",M508)</f>
        <v>1999</v>
      </c>
      <c r="P508" s="17" t="str">
        <f t="shared" si="22"/>
        <v>Standard</v>
      </c>
    </row>
    <row r="509" spans="1:16">
      <c r="A509" s="17" t="s">
        <v>522</v>
      </c>
      <c r="B509" s="17">
        <v>358</v>
      </c>
      <c r="C509" s="17">
        <v>36</v>
      </c>
      <c r="D509" s="18">
        <v>46050.2083333333</v>
      </c>
      <c r="E509" s="17">
        <v>999</v>
      </c>
      <c r="F509" s="17" t="s">
        <v>24</v>
      </c>
      <c r="G509" s="17" t="s">
        <v>38</v>
      </c>
      <c r="H509" s="17">
        <v>100</v>
      </c>
      <c r="I509" s="17" t="str">
        <f>IFERROR(VLOOKUP(C509,Merchants!$A$2:$D$41,2,FALSE),"Merchant not found")</f>
        <v>Merchant_036</v>
      </c>
      <c r="J509" s="17" t="str">
        <f>IFERROR(VLOOKUP(C509,Merchants!$A$2:$D$41,3,FALSE),"Merchant not found")</f>
        <v>entertainment</v>
      </c>
      <c r="K509" s="17" t="str">
        <f>IFERROR(VLOOKUP(C509,Merchants!$A$2:$D$41,4,FALSE),"Merchant not found")</f>
        <v>East</v>
      </c>
      <c r="L509" s="19">
        <f>_xlfn.IFNA(HLOOKUP(F509,'MDR Rates'!$C$1:$F$2,2,FALSE),"N/A")</f>
        <v>0.02</v>
      </c>
      <c r="M509" s="20">
        <f t="shared" si="21"/>
        <v>46050</v>
      </c>
      <c r="N509" s="17">
        <f t="shared" si="23"/>
        <v>999</v>
      </c>
      <c r="O509" s="17">
        <f>GETPIVOTDATA("amount_inr",'Pivot Table'!$A$3,"merchant_name",I509,"Date",M509)</f>
        <v>999</v>
      </c>
      <c r="P509" s="17" t="str">
        <f t="shared" si="22"/>
        <v>Standard</v>
      </c>
    </row>
    <row r="510" spans="1:16">
      <c r="A510" s="17" t="s">
        <v>523</v>
      </c>
      <c r="B510" s="17">
        <v>359</v>
      </c>
      <c r="C510" s="17">
        <v>29</v>
      </c>
      <c r="D510" s="18">
        <v>46047.9166666667</v>
      </c>
      <c r="E510" s="17">
        <v>2999</v>
      </c>
      <c r="F510" s="17" t="s">
        <v>24</v>
      </c>
      <c r="G510" s="17" t="s">
        <v>38</v>
      </c>
      <c r="H510" s="17">
        <v>96</v>
      </c>
      <c r="I510" s="17" t="str">
        <f>IFERROR(VLOOKUP(C510,Merchants!$A$2:$D$41,2,FALSE),"Merchant not found")</f>
        <v>Merchant_029</v>
      </c>
      <c r="J510" s="17" t="str">
        <f>IFERROR(VLOOKUP(C510,Merchants!$A$2:$D$41,3,FALSE),"Merchant not found")</f>
        <v>ecommerce</v>
      </c>
      <c r="K510" s="17" t="str">
        <f>IFERROR(VLOOKUP(C510,Merchants!$A$2:$D$41,4,FALSE),"Merchant not found")</f>
        <v>North</v>
      </c>
      <c r="L510" s="19">
        <f>_xlfn.IFNA(HLOOKUP(F510,'MDR Rates'!$C$1:$F$2,2,FALSE),"N/A")</f>
        <v>0.02</v>
      </c>
      <c r="M510" s="20">
        <f t="shared" si="21"/>
        <v>46047</v>
      </c>
      <c r="N510" s="17">
        <f t="shared" si="23"/>
        <v>3896</v>
      </c>
      <c r="O510" s="17">
        <f>GETPIVOTDATA("amount_inr",'Pivot Table'!$A$3,"merchant_name",I510,"Date",M510)</f>
        <v>3896</v>
      </c>
      <c r="P510" s="17" t="str">
        <f t="shared" si="22"/>
        <v>Standard</v>
      </c>
    </row>
    <row r="511" spans="1:16">
      <c r="A511" s="17" t="s">
        <v>524</v>
      </c>
      <c r="B511" s="17">
        <v>360</v>
      </c>
      <c r="C511" s="17">
        <v>32</v>
      </c>
      <c r="D511" s="18">
        <v>46035.5416666667</v>
      </c>
      <c r="E511" s="17">
        <v>1999</v>
      </c>
      <c r="F511" s="17" t="s">
        <v>24</v>
      </c>
      <c r="G511" s="17" t="s">
        <v>38</v>
      </c>
      <c r="H511" s="17">
        <v>90</v>
      </c>
      <c r="I511" s="17" t="str">
        <f>IFERROR(VLOOKUP(C511,Merchants!$A$2:$D$41,2,FALSE),"Merchant not found")</f>
        <v>Merchant_032</v>
      </c>
      <c r="J511" s="17" t="str">
        <f>IFERROR(VLOOKUP(C511,Merchants!$A$2:$D$41,3,FALSE),"Merchant not found")</f>
        <v>food_delivery</v>
      </c>
      <c r="K511" s="17" t="str">
        <f>IFERROR(VLOOKUP(C511,Merchants!$A$2:$D$41,4,FALSE),"Merchant not found")</f>
        <v>West</v>
      </c>
      <c r="L511" s="19">
        <f>_xlfn.IFNA(HLOOKUP(F511,'MDR Rates'!$C$1:$F$2,2,FALSE),"N/A")</f>
        <v>0.02</v>
      </c>
      <c r="M511" s="20">
        <f t="shared" si="21"/>
        <v>46035</v>
      </c>
      <c r="N511" s="17">
        <f t="shared" si="23"/>
        <v>1999</v>
      </c>
      <c r="O511" s="17">
        <f>GETPIVOTDATA("amount_inr",'Pivot Table'!$A$3,"merchant_name",I511,"Date",M511)</f>
        <v>1999</v>
      </c>
      <c r="P511" s="17" t="str">
        <f t="shared" si="22"/>
        <v>Standard</v>
      </c>
    </row>
    <row r="512" spans="1:16">
      <c r="A512" s="17" t="s">
        <v>525</v>
      </c>
      <c r="B512" s="17">
        <v>361</v>
      </c>
      <c r="C512" s="17">
        <v>10</v>
      </c>
      <c r="D512" s="18">
        <v>46042.2916666667</v>
      </c>
      <c r="E512" s="17">
        <v>4999</v>
      </c>
      <c r="F512" s="17" t="s">
        <v>24</v>
      </c>
      <c r="G512" s="17" t="s">
        <v>38</v>
      </c>
      <c r="H512" s="17">
        <v>95</v>
      </c>
      <c r="I512" s="17" t="str">
        <f>IFERROR(VLOOKUP(C512,Merchants!$A$2:$D$41,2,FALSE),"Merchant not found")</f>
        <v>Merchant_010</v>
      </c>
      <c r="J512" s="17" t="str">
        <f>IFERROR(VLOOKUP(C512,Merchants!$A$2:$D$41,3,FALSE),"Merchant not found")</f>
        <v>grocery</v>
      </c>
      <c r="K512" s="17" t="str">
        <f>IFERROR(VLOOKUP(C512,Merchants!$A$2:$D$41,4,FALSE),"Merchant not found")</f>
        <v>West</v>
      </c>
      <c r="L512" s="19">
        <f>_xlfn.IFNA(HLOOKUP(F512,'MDR Rates'!$C$1:$F$2,2,FALSE),"N/A")</f>
        <v>0.02</v>
      </c>
      <c r="M512" s="20">
        <f t="shared" si="21"/>
        <v>46042</v>
      </c>
      <c r="N512" s="17">
        <f t="shared" si="23"/>
        <v>4999</v>
      </c>
      <c r="O512" s="17">
        <f>GETPIVOTDATA("amount_inr",'Pivot Table'!$A$3,"merchant_name",I512,"Date",M512)</f>
        <v>4999</v>
      </c>
      <c r="P512" s="17" t="str">
        <f t="shared" si="22"/>
        <v>Standard</v>
      </c>
    </row>
    <row r="513" spans="1:16">
      <c r="A513" s="17" t="s">
        <v>526</v>
      </c>
      <c r="B513" s="17">
        <v>362</v>
      </c>
      <c r="C513" s="17">
        <v>39</v>
      </c>
      <c r="D513" s="18">
        <v>46045.0833333333</v>
      </c>
      <c r="E513" s="17">
        <v>4999</v>
      </c>
      <c r="F513" s="17" t="s">
        <v>24</v>
      </c>
      <c r="G513" s="17" t="s">
        <v>38</v>
      </c>
      <c r="H513" s="17">
        <v>88</v>
      </c>
      <c r="I513" s="17" t="str">
        <f>IFERROR(VLOOKUP(C513,Merchants!$A$2:$D$41,2,FALSE),"Merchant not found")</f>
        <v>Merchant_039</v>
      </c>
      <c r="J513" s="17" t="str">
        <f>IFERROR(VLOOKUP(C513,Merchants!$A$2:$D$41,3,FALSE),"Merchant not found")</f>
        <v>entertainment</v>
      </c>
      <c r="K513" s="17" t="str">
        <f>IFERROR(VLOOKUP(C513,Merchants!$A$2:$D$41,4,FALSE),"Merchant not found")</f>
        <v>North</v>
      </c>
      <c r="L513" s="19">
        <f>_xlfn.IFNA(HLOOKUP(F513,'MDR Rates'!$C$1:$F$2,2,FALSE),"N/A")</f>
        <v>0.02</v>
      </c>
      <c r="M513" s="20">
        <f t="shared" si="21"/>
        <v>46045</v>
      </c>
      <c r="N513" s="17">
        <f t="shared" si="23"/>
        <v>4999</v>
      </c>
      <c r="O513" s="17">
        <f>GETPIVOTDATA("amount_inr",'Pivot Table'!$A$3,"merchant_name",I513,"Date",M513)</f>
        <v>4999</v>
      </c>
      <c r="P513" s="17" t="str">
        <f t="shared" si="22"/>
        <v>Standard</v>
      </c>
    </row>
    <row r="514" spans="1:16">
      <c r="A514" s="17" t="s">
        <v>527</v>
      </c>
      <c r="B514" s="17">
        <v>363</v>
      </c>
      <c r="C514" s="17">
        <v>27</v>
      </c>
      <c r="D514" s="18">
        <v>46045.7083333333</v>
      </c>
      <c r="E514" s="17">
        <v>999</v>
      </c>
      <c r="F514" s="17" t="s">
        <v>24</v>
      </c>
      <c r="G514" s="17" t="s">
        <v>38</v>
      </c>
      <c r="H514" s="17">
        <v>95</v>
      </c>
      <c r="I514" s="17" t="str">
        <f>IFERROR(VLOOKUP(C514,Merchants!$A$2:$D$41,2,FALSE),"Merchant not found")</f>
        <v>Merchant_027</v>
      </c>
      <c r="J514" s="17" t="str">
        <f>IFERROR(VLOOKUP(C514,Merchants!$A$2:$D$41,3,FALSE),"Merchant not found")</f>
        <v>ecommerce</v>
      </c>
      <c r="K514" s="17" t="str">
        <f>IFERROR(VLOOKUP(C514,Merchants!$A$2:$D$41,4,FALSE),"Merchant not found")</f>
        <v>North</v>
      </c>
      <c r="L514" s="19">
        <f>_xlfn.IFNA(HLOOKUP(F514,'MDR Rates'!$C$1:$F$2,2,FALSE),"N/A")</f>
        <v>0.02</v>
      </c>
      <c r="M514" s="20">
        <f t="shared" si="21"/>
        <v>46045</v>
      </c>
      <c r="N514" s="17">
        <f t="shared" si="23"/>
        <v>3998</v>
      </c>
      <c r="O514" s="17">
        <f>GETPIVOTDATA("amount_inr",'Pivot Table'!$A$3,"merchant_name",I514,"Date",M514)</f>
        <v>3998</v>
      </c>
      <c r="P514" s="17" t="str">
        <f t="shared" si="22"/>
        <v>Standard</v>
      </c>
    </row>
    <row r="515" spans="1:16">
      <c r="A515" s="17" t="s">
        <v>528</v>
      </c>
      <c r="B515" s="17">
        <v>364</v>
      </c>
      <c r="C515" s="17">
        <v>39</v>
      </c>
      <c r="D515" s="18">
        <v>46044.9166666667</v>
      </c>
      <c r="E515" s="17">
        <v>999</v>
      </c>
      <c r="F515" s="17" t="s">
        <v>24</v>
      </c>
      <c r="G515" s="17" t="s">
        <v>38</v>
      </c>
      <c r="H515" s="17">
        <v>73</v>
      </c>
      <c r="I515" s="17" t="str">
        <f>IFERROR(VLOOKUP(C515,Merchants!$A$2:$D$41,2,FALSE),"Merchant not found")</f>
        <v>Merchant_039</v>
      </c>
      <c r="J515" s="17" t="str">
        <f>IFERROR(VLOOKUP(C515,Merchants!$A$2:$D$41,3,FALSE),"Merchant not found")</f>
        <v>entertainment</v>
      </c>
      <c r="K515" s="17" t="str">
        <f>IFERROR(VLOOKUP(C515,Merchants!$A$2:$D$41,4,FALSE),"Merchant not found")</f>
        <v>North</v>
      </c>
      <c r="L515" s="19">
        <f>_xlfn.IFNA(HLOOKUP(F515,'MDR Rates'!$C$1:$F$2,2,FALSE),"N/A")</f>
        <v>0.02</v>
      </c>
      <c r="M515" s="20">
        <f t="shared" ref="M515:M548" si="24">INT(D515)</f>
        <v>46044</v>
      </c>
      <c r="N515" s="17">
        <f t="shared" si="23"/>
        <v>9796</v>
      </c>
      <c r="O515" s="17">
        <f>GETPIVOTDATA("amount_inr",'Pivot Table'!$A$3,"merchant_name",I515,"Date",M515)</f>
        <v>9796</v>
      </c>
      <c r="P515" s="17" t="str">
        <f t="shared" ref="P515:P548" si="25">IF(AND(O515&gt;5000,K515&lt;&gt;"East"),"High-Value Merchant Day","Standard")</f>
        <v>High-Value Merchant Day</v>
      </c>
    </row>
    <row r="516" spans="1:16">
      <c r="A516" s="17" t="s">
        <v>529</v>
      </c>
      <c r="B516" s="17">
        <v>365</v>
      </c>
      <c r="C516" s="17">
        <v>23</v>
      </c>
      <c r="D516" s="18">
        <v>46040.875</v>
      </c>
      <c r="E516" s="17">
        <v>1999</v>
      </c>
      <c r="F516" s="17" t="s">
        <v>24</v>
      </c>
      <c r="G516" s="17" t="s">
        <v>38</v>
      </c>
      <c r="H516" s="17">
        <v>90</v>
      </c>
      <c r="I516" s="17" t="str">
        <f>IFERROR(VLOOKUP(C516,Merchants!$A$2:$D$41,2,FALSE),"Merchant not found")</f>
        <v>Merchant_023</v>
      </c>
      <c r="J516" s="17" t="str">
        <f>IFERROR(VLOOKUP(C516,Merchants!$A$2:$D$41,3,FALSE),"Merchant not found")</f>
        <v>travel</v>
      </c>
      <c r="K516" s="17" t="str">
        <f>IFERROR(VLOOKUP(C516,Merchants!$A$2:$D$41,4,FALSE),"Merchant not found")</f>
        <v>North</v>
      </c>
      <c r="L516" s="19">
        <f>_xlfn.IFNA(HLOOKUP(F516,'MDR Rates'!$C$1:$F$2,2,FALSE),"N/A")</f>
        <v>0.02</v>
      </c>
      <c r="M516" s="20">
        <f t="shared" si="24"/>
        <v>46040</v>
      </c>
      <c r="N516" s="17">
        <f t="shared" si="23"/>
        <v>1999</v>
      </c>
      <c r="O516" s="17">
        <f>GETPIVOTDATA("amount_inr",'Pivot Table'!$A$3,"merchant_name",I516,"Date",M516)</f>
        <v>1999</v>
      </c>
      <c r="P516" s="17" t="str">
        <f t="shared" si="25"/>
        <v>Standard</v>
      </c>
    </row>
    <row r="517" spans="1:16">
      <c r="A517" s="17" t="s">
        <v>530</v>
      </c>
      <c r="B517" s="17">
        <v>314</v>
      </c>
      <c r="C517" s="17">
        <v>26</v>
      </c>
      <c r="D517" s="18">
        <v>46024.75</v>
      </c>
      <c r="E517" s="17">
        <v>399</v>
      </c>
      <c r="F517" s="17" t="s">
        <v>24</v>
      </c>
      <c r="G517" s="17" t="s">
        <v>25</v>
      </c>
      <c r="H517" s="17">
        <v>87</v>
      </c>
      <c r="I517" s="17" t="str">
        <f>IFERROR(VLOOKUP(C517,Merchants!$A$2:$D$41,2,FALSE),"Merchant not found")</f>
        <v>Merchant_026</v>
      </c>
      <c r="J517" s="17" t="str">
        <f>IFERROR(VLOOKUP(C517,Merchants!$A$2:$D$41,3,FALSE),"Merchant not found")</f>
        <v>food_delivery</v>
      </c>
      <c r="K517" s="17" t="str">
        <f>IFERROR(VLOOKUP(C517,Merchants!$A$2:$D$41,4,FALSE),"Merchant not found")</f>
        <v>East</v>
      </c>
      <c r="L517" s="19">
        <f>_xlfn.IFNA(HLOOKUP(F517,'MDR Rates'!$C$1:$F$2,2,FALSE),"N/A")</f>
        <v>0.02</v>
      </c>
      <c r="M517" s="20">
        <f t="shared" si="24"/>
        <v>46024</v>
      </c>
      <c r="N517" s="17">
        <f t="shared" ref="N517:N548" si="26">SUMIFS($E$2:$E$548,$C$2:$C$548,C517,$M$2:$M$548,M517)</f>
        <v>399</v>
      </c>
      <c r="O517" s="17">
        <f>GETPIVOTDATA("amount_inr",'Pivot Table'!$A$3,"merchant_name",I517,"Date",M517)</f>
        <v>399</v>
      </c>
      <c r="P517" s="17" t="str">
        <f t="shared" si="25"/>
        <v>Standard</v>
      </c>
    </row>
    <row r="518" spans="1:16">
      <c r="A518" s="17" t="s">
        <v>531</v>
      </c>
      <c r="B518" s="17">
        <v>314</v>
      </c>
      <c r="C518" s="17">
        <v>7</v>
      </c>
      <c r="D518" s="18">
        <v>46024.7506944444</v>
      </c>
      <c r="E518" s="17">
        <v>299</v>
      </c>
      <c r="F518" s="17" t="s">
        <v>24</v>
      </c>
      <c r="G518" s="17" t="s">
        <v>25</v>
      </c>
      <c r="H518" s="17">
        <v>66</v>
      </c>
      <c r="I518" s="17" t="str">
        <f>IFERROR(VLOOKUP(C518,Merchants!$A$2:$D$41,2,FALSE),"Merchant not found")</f>
        <v>Merchant_007</v>
      </c>
      <c r="J518" s="17" t="str">
        <f>IFERROR(VLOOKUP(C518,Merchants!$A$2:$D$41,3,FALSE),"Merchant not found")</f>
        <v>food_delivery</v>
      </c>
      <c r="K518" s="17" t="str">
        <f>IFERROR(VLOOKUP(C518,Merchants!$A$2:$D$41,4,FALSE),"Merchant not found")</f>
        <v>East</v>
      </c>
      <c r="L518" s="19">
        <f>_xlfn.IFNA(HLOOKUP(F518,'MDR Rates'!$C$1:$F$2,2,FALSE),"N/A")</f>
        <v>0.02</v>
      </c>
      <c r="M518" s="20">
        <f t="shared" si="24"/>
        <v>46024</v>
      </c>
      <c r="N518" s="17">
        <f t="shared" si="26"/>
        <v>3797</v>
      </c>
      <c r="O518" s="17">
        <f>GETPIVOTDATA("amount_inr",'Pivot Table'!$A$3,"merchant_name",I518,"Date",M518)</f>
        <v>3797</v>
      </c>
      <c r="P518" s="17" t="str">
        <f t="shared" si="25"/>
        <v>Standard</v>
      </c>
    </row>
    <row r="519" spans="1:16">
      <c r="A519" s="17" t="s">
        <v>532</v>
      </c>
      <c r="B519" s="17">
        <v>314</v>
      </c>
      <c r="C519" s="17">
        <v>17</v>
      </c>
      <c r="D519" s="18">
        <v>46024.7513888889</v>
      </c>
      <c r="E519" s="17">
        <v>299</v>
      </c>
      <c r="F519" s="17" t="s">
        <v>24</v>
      </c>
      <c r="G519" s="17" t="s">
        <v>25</v>
      </c>
      <c r="H519" s="17">
        <v>92</v>
      </c>
      <c r="I519" s="17" t="str">
        <f>IFERROR(VLOOKUP(C519,Merchants!$A$2:$D$41,2,FALSE),"Merchant not found")</f>
        <v>Merchant_017</v>
      </c>
      <c r="J519" s="17" t="str">
        <f>IFERROR(VLOOKUP(C519,Merchants!$A$2:$D$41,3,FALSE),"Merchant not found")</f>
        <v>grocery</v>
      </c>
      <c r="K519" s="17" t="str">
        <f>IFERROR(VLOOKUP(C519,Merchants!$A$2:$D$41,4,FALSE),"Merchant not found")</f>
        <v>North</v>
      </c>
      <c r="L519" s="19">
        <f>_xlfn.IFNA(HLOOKUP(F519,'MDR Rates'!$C$1:$F$2,2,FALSE),"N/A")</f>
        <v>0.02</v>
      </c>
      <c r="M519" s="20">
        <f t="shared" si="24"/>
        <v>46024</v>
      </c>
      <c r="N519" s="17">
        <f t="shared" si="26"/>
        <v>299</v>
      </c>
      <c r="O519" s="17">
        <f>GETPIVOTDATA("amount_inr",'Pivot Table'!$A$3,"merchant_name",I519,"Date",M519)</f>
        <v>299</v>
      </c>
      <c r="P519" s="17" t="str">
        <f t="shared" si="25"/>
        <v>Standard</v>
      </c>
    </row>
    <row r="520" spans="1:16">
      <c r="A520" s="17" t="s">
        <v>533</v>
      </c>
      <c r="B520" s="17">
        <v>314</v>
      </c>
      <c r="C520" s="17">
        <v>34</v>
      </c>
      <c r="D520" s="18">
        <v>46024.7520833333</v>
      </c>
      <c r="E520" s="17">
        <v>499</v>
      </c>
      <c r="F520" s="17" t="s">
        <v>24</v>
      </c>
      <c r="G520" s="17" t="s">
        <v>10</v>
      </c>
      <c r="H520" s="17">
        <v>74</v>
      </c>
      <c r="I520" s="17" t="str">
        <f>IFERROR(VLOOKUP(C520,Merchants!$A$2:$D$41,2,FALSE),"Merchant not found")</f>
        <v>Merchant_034</v>
      </c>
      <c r="J520" s="17" t="str">
        <f>IFERROR(VLOOKUP(C520,Merchants!$A$2:$D$41,3,FALSE),"Merchant not found")</f>
        <v>travel</v>
      </c>
      <c r="K520" s="17" t="str">
        <f>IFERROR(VLOOKUP(C520,Merchants!$A$2:$D$41,4,FALSE),"Merchant not found")</f>
        <v>South</v>
      </c>
      <c r="L520" s="19">
        <f>_xlfn.IFNA(HLOOKUP(F520,'MDR Rates'!$C$1:$F$2,2,FALSE),"N/A")</f>
        <v>0.02</v>
      </c>
      <c r="M520" s="20">
        <f t="shared" si="24"/>
        <v>46024</v>
      </c>
      <c r="N520" s="17">
        <f t="shared" si="26"/>
        <v>548</v>
      </c>
      <c r="O520" s="17">
        <f>GETPIVOTDATA("amount_inr",'Pivot Table'!$A$3,"merchant_name",I520,"Date",M520)</f>
        <v>548</v>
      </c>
      <c r="P520" s="17" t="str">
        <f t="shared" si="25"/>
        <v>Standard</v>
      </c>
    </row>
    <row r="521" spans="1:16">
      <c r="A521" s="17" t="s">
        <v>534</v>
      </c>
      <c r="B521" s="17">
        <v>229</v>
      </c>
      <c r="C521" s="17">
        <v>30</v>
      </c>
      <c r="D521" s="18">
        <v>46034.5</v>
      </c>
      <c r="E521" s="17">
        <v>499</v>
      </c>
      <c r="F521" s="17" t="s">
        <v>24</v>
      </c>
      <c r="G521" s="17" t="s">
        <v>25</v>
      </c>
      <c r="H521" s="17">
        <v>92</v>
      </c>
      <c r="I521" s="17" t="str">
        <f>IFERROR(VLOOKUP(C521,Merchants!$A$2:$D$41,2,FALSE),"Merchant not found")</f>
        <v>Merchant_030</v>
      </c>
      <c r="J521" s="17" t="str">
        <f>IFERROR(VLOOKUP(C521,Merchants!$A$2:$D$41,3,FALSE),"Merchant not found")</f>
        <v>travel</v>
      </c>
      <c r="K521" s="17" t="str">
        <f>IFERROR(VLOOKUP(C521,Merchants!$A$2:$D$41,4,FALSE),"Merchant not found")</f>
        <v>West</v>
      </c>
      <c r="L521" s="19">
        <f>_xlfn.IFNA(HLOOKUP(F521,'MDR Rates'!$C$1:$F$2,2,FALSE),"N/A")</f>
        <v>0.02</v>
      </c>
      <c r="M521" s="20">
        <f t="shared" si="24"/>
        <v>46034</v>
      </c>
      <c r="N521" s="17">
        <f t="shared" si="26"/>
        <v>499</v>
      </c>
      <c r="O521" s="17">
        <f>GETPIVOTDATA("amount_inr",'Pivot Table'!$A$3,"merchant_name",I521,"Date",M521)</f>
        <v>499</v>
      </c>
      <c r="P521" s="17" t="str">
        <f t="shared" si="25"/>
        <v>Standard</v>
      </c>
    </row>
    <row r="522" spans="1:16">
      <c r="A522" s="17" t="s">
        <v>535</v>
      </c>
      <c r="B522" s="17">
        <v>229</v>
      </c>
      <c r="C522" s="17">
        <v>10</v>
      </c>
      <c r="D522" s="18">
        <v>46034.5006944444</v>
      </c>
      <c r="E522" s="17">
        <v>399</v>
      </c>
      <c r="F522" s="17" t="s">
        <v>24</v>
      </c>
      <c r="G522" s="17" t="s">
        <v>25</v>
      </c>
      <c r="H522" s="17">
        <v>61</v>
      </c>
      <c r="I522" s="17" t="str">
        <f>IFERROR(VLOOKUP(C522,Merchants!$A$2:$D$41,2,FALSE),"Merchant not found")</f>
        <v>Merchant_010</v>
      </c>
      <c r="J522" s="17" t="str">
        <f>IFERROR(VLOOKUP(C522,Merchants!$A$2:$D$41,3,FALSE),"Merchant not found")</f>
        <v>grocery</v>
      </c>
      <c r="K522" s="17" t="str">
        <f>IFERROR(VLOOKUP(C522,Merchants!$A$2:$D$41,4,FALSE),"Merchant not found")</f>
        <v>West</v>
      </c>
      <c r="L522" s="19">
        <f>_xlfn.IFNA(HLOOKUP(F522,'MDR Rates'!$C$1:$F$2,2,FALSE),"N/A")</f>
        <v>0.02</v>
      </c>
      <c r="M522" s="20">
        <f t="shared" si="24"/>
        <v>46034</v>
      </c>
      <c r="N522" s="17">
        <f t="shared" si="26"/>
        <v>399</v>
      </c>
      <c r="O522" s="17">
        <f>GETPIVOTDATA("amount_inr",'Pivot Table'!$A$3,"merchant_name",I522,"Date",M522)</f>
        <v>399</v>
      </c>
      <c r="P522" s="17" t="str">
        <f t="shared" si="25"/>
        <v>Standard</v>
      </c>
    </row>
    <row r="523" spans="1:16">
      <c r="A523" s="17" t="s">
        <v>536</v>
      </c>
      <c r="B523" s="17">
        <v>229</v>
      </c>
      <c r="C523" s="17">
        <v>31</v>
      </c>
      <c r="D523" s="18">
        <v>46034.5013888889</v>
      </c>
      <c r="E523" s="17">
        <v>299</v>
      </c>
      <c r="F523" s="17" t="s">
        <v>24</v>
      </c>
      <c r="G523" s="17" t="s">
        <v>25</v>
      </c>
      <c r="H523" s="17">
        <v>78</v>
      </c>
      <c r="I523" s="17" t="str">
        <f>IFERROR(VLOOKUP(C523,Merchants!$A$2:$D$41,2,FALSE),"Merchant not found")</f>
        <v>Merchant_031</v>
      </c>
      <c r="J523" s="17" t="str">
        <f>IFERROR(VLOOKUP(C523,Merchants!$A$2:$D$41,3,FALSE),"Merchant not found")</f>
        <v>bill_payment</v>
      </c>
      <c r="K523" s="17" t="str">
        <f>IFERROR(VLOOKUP(C523,Merchants!$A$2:$D$41,4,FALSE),"Merchant not found")</f>
        <v>East</v>
      </c>
      <c r="L523" s="19">
        <f>_xlfn.IFNA(HLOOKUP(F523,'MDR Rates'!$C$1:$F$2,2,FALSE),"N/A")</f>
        <v>0.02</v>
      </c>
      <c r="M523" s="20">
        <f t="shared" si="24"/>
        <v>46034</v>
      </c>
      <c r="N523" s="17">
        <f t="shared" si="26"/>
        <v>598</v>
      </c>
      <c r="O523" s="17">
        <f>GETPIVOTDATA("amount_inr",'Pivot Table'!$A$3,"merchant_name",I523,"Date",M523)</f>
        <v>598</v>
      </c>
      <c r="P523" s="17" t="str">
        <f t="shared" si="25"/>
        <v>Standard</v>
      </c>
    </row>
    <row r="524" spans="1:16">
      <c r="A524" s="17" t="s">
        <v>537</v>
      </c>
      <c r="B524" s="17">
        <v>229</v>
      </c>
      <c r="C524" s="17">
        <v>27</v>
      </c>
      <c r="D524" s="18">
        <v>46034.5020833333</v>
      </c>
      <c r="E524" s="17">
        <v>299</v>
      </c>
      <c r="F524" s="17" t="s">
        <v>24</v>
      </c>
      <c r="G524" s="17" t="s">
        <v>10</v>
      </c>
      <c r="H524" s="17">
        <v>67</v>
      </c>
      <c r="I524" s="17" t="str">
        <f>IFERROR(VLOOKUP(C524,Merchants!$A$2:$D$41,2,FALSE),"Merchant not found")</f>
        <v>Merchant_027</v>
      </c>
      <c r="J524" s="17" t="str">
        <f>IFERROR(VLOOKUP(C524,Merchants!$A$2:$D$41,3,FALSE),"Merchant not found")</f>
        <v>ecommerce</v>
      </c>
      <c r="K524" s="17" t="str">
        <f>IFERROR(VLOOKUP(C524,Merchants!$A$2:$D$41,4,FALSE),"Merchant not found")</f>
        <v>North</v>
      </c>
      <c r="L524" s="19">
        <f>_xlfn.IFNA(HLOOKUP(F524,'MDR Rates'!$C$1:$F$2,2,FALSE),"N/A")</f>
        <v>0.02</v>
      </c>
      <c r="M524" s="20">
        <f t="shared" si="24"/>
        <v>46034</v>
      </c>
      <c r="N524" s="17">
        <f t="shared" si="26"/>
        <v>299</v>
      </c>
      <c r="O524" s="17">
        <f>GETPIVOTDATA("amount_inr",'Pivot Table'!$A$3,"merchant_name",I524,"Date",M524)</f>
        <v>299</v>
      </c>
      <c r="P524" s="17" t="str">
        <f t="shared" si="25"/>
        <v>Standard</v>
      </c>
    </row>
    <row r="525" spans="1:16">
      <c r="A525" s="17" t="s">
        <v>538</v>
      </c>
      <c r="B525" s="17">
        <v>73</v>
      </c>
      <c r="C525" s="17">
        <v>22</v>
      </c>
      <c r="D525" s="18">
        <v>46034.375</v>
      </c>
      <c r="E525" s="17">
        <v>399</v>
      </c>
      <c r="F525" s="17" t="s">
        <v>24</v>
      </c>
      <c r="G525" s="17" t="s">
        <v>25</v>
      </c>
      <c r="H525" s="17">
        <v>73</v>
      </c>
      <c r="I525" s="17" t="str">
        <f>IFERROR(VLOOKUP(C525,Merchants!$A$2:$D$41,2,FALSE),"Merchant not found")</f>
        <v>Merchant_022</v>
      </c>
      <c r="J525" s="17" t="str">
        <f>IFERROR(VLOOKUP(C525,Merchants!$A$2:$D$41,3,FALSE),"Merchant not found")</f>
        <v>travel</v>
      </c>
      <c r="K525" s="17" t="str">
        <f>IFERROR(VLOOKUP(C525,Merchants!$A$2:$D$41,4,FALSE),"Merchant not found")</f>
        <v>South</v>
      </c>
      <c r="L525" s="19">
        <f>_xlfn.IFNA(HLOOKUP(F525,'MDR Rates'!$C$1:$F$2,2,FALSE),"N/A")</f>
        <v>0.02</v>
      </c>
      <c r="M525" s="20">
        <f t="shared" si="24"/>
        <v>46034</v>
      </c>
      <c r="N525" s="17">
        <f t="shared" si="26"/>
        <v>1697</v>
      </c>
      <c r="O525" s="17">
        <f>GETPIVOTDATA("amount_inr",'Pivot Table'!$A$3,"merchant_name",I525,"Date",M525)</f>
        <v>1697</v>
      </c>
      <c r="P525" s="17" t="str">
        <f t="shared" si="25"/>
        <v>Standard</v>
      </c>
    </row>
    <row r="526" spans="1:16">
      <c r="A526" s="17" t="s">
        <v>539</v>
      </c>
      <c r="B526" s="17">
        <v>73</v>
      </c>
      <c r="C526" s="17">
        <v>34</v>
      </c>
      <c r="D526" s="18">
        <v>46034.3756944444</v>
      </c>
      <c r="E526" s="17">
        <v>399</v>
      </c>
      <c r="F526" s="17" t="s">
        <v>24</v>
      </c>
      <c r="G526" s="17" t="s">
        <v>25</v>
      </c>
      <c r="H526" s="17">
        <v>82</v>
      </c>
      <c r="I526" s="17" t="str">
        <f>IFERROR(VLOOKUP(C526,Merchants!$A$2:$D$41,2,FALSE),"Merchant not found")</f>
        <v>Merchant_034</v>
      </c>
      <c r="J526" s="17" t="str">
        <f>IFERROR(VLOOKUP(C526,Merchants!$A$2:$D$41,3,FALSE),"Merchant not found")</f>
        <v>travel</v>
      </c>
      <c r="K526" s="17" t="str">
        <f>IFERROR(VLOOKUP(C526,Merchants!$A$2:$D$41,4,FALSE),"Merchant not found")</f>
        <v>South</v>
      </c>
      <c r="L526" s="19">
        <f>_xlfn.IFNA(HLOOKUP(F526,'MDR Rates'!$C$1:$F$2,2,FALSE),"N/A")</f>
        <v>0.02</v>
      </c>
      <c r="M526" s="20">
        <f t="shared" si="24"/>
        <v>46034</v>
      </c>
      <c r="N526" s="17">
        <f t="shared" si="26"/>
        <v>399</v>
      </c>
      <c r="O526" s="17">
        <f>GETPIVOTDATA("amount_inr",'Pivot Table'!$A$3,"merchant_name",I526,"Date",M526)</f>
        <v>399</v>
      </c>
      <c r="P526" s="17" t="str">
        <f t="shared" si="25"/>
        <v>Standard</v>
      </c>
    </row>
    <row r="527" spans="1:16">
      <c r="A527" s="17" t="s">
        <v>540</v>
      </c>
      <c r="B527" s="17">
        <v>73</v>
      </c>
      <c r="C527" s="17">
        <v>31</v>
      </c>
      <c r="D527" s="18">
        <v>46034.3763888889</v>
      </c>
      <c r="E527" s="17">
        <v>299</v>
      </c>
      <c r="F527" s="17" t="s">
        <v>24</v>
      </c>
      <c r="G527" s="17" t="s">
        <v>25</v>
      </c>
      <c r="H527" s="17">
        <v>88</v>
      </c>
      <c r="I527" s="17" t="str">
        <f>IFERROR(VLOOKUP(C527,Merchants!$A$2:$D$41,2,FALSE),"Merchant not found")</f>
        <v>Merchant_031</v>
      </c>
      <c r="J527" s="17" t="str">
        <f>IFERROR(VLOOKUP(C527,Merchants!$A$2:$D$41,3,FALSE),"Merchant not found")</f>
        <v>bill_payment</v>
      </c>
      <c r="K527" s="17" t="str">
        <f>IFERROR(VLOOKUP(C527,Merchants!$A$2:$D$41,4,FALSE),"Merchant not found")</f>
        <v>East</v>
      </c>
      <c r="L527" s="19">
        <f>_xlfn.IFNA(HLOOKUP(F527,'MDR Rates'!$C$1:$F$2,2,FALSE),"N/A")</f>
        <v>0.02</v>
      </c>
      <c r="M527" s="20">
        <f t="shared" si="24"/>
        <v>46034</v>
      </c>
      <c r="N527" s="17">
        <f t="shared" si="26"/>
        <v>598</v>
      </c>
      <c r="O527" s="17">
        <f>GETPIVOTDATA("amount_inr",'Pivot Table'!$A$3,"merchant_name",I527,"Date",M527)</f>
        <v>598</v>
      </c>
      <c r="P527" s="17" t="str">
        <f t="shared" si="25"/>
        <v>Standard</v>
      </c>
    </row>
    <row r="528" spans="1:16">
      <c r="A528" s="17" t="s">
        <v>541</v>
      </c>
      <c r="B528" s="17">
        <v>73</v>
      </c>
      <c r="C528" s="17">
        <v>29</v>
      </c>
      <c r="D528" s="18">
        <v>46034.3770833333</v>
      </c>
      <c r="E528" s="17">
        <v>399</v>
      </c>
      <c r="F528" s="17" t="s">
        <v>24</v>
      </c>
      <c r="G528" s="17" t="s">
        <v>10</v>
      </c>
      <c r="H528" s="17">
        <v>64</v>
      </c>
      <c r="I528" s="17" t="str">
        <f>IFERROR(VLOOKUP(C528,Merchants!$A$2:$D$41,2,FALSE),"Merchant not found")</f>
        <v>Merchant_029</v>
      </c>
      <c r="J528" s="17" t="str">
        <f>IFERROR(VLOOKUP(C528,Merchants!$A$2:$D$41,3,FALSE),"Merchant not found")</f>
        <v>ecommerce</v>
      </c>
      <c r="K528" s="17" t="str">
        <f>IFERROR(VLOOKUP(C528,Merchants!$A$2:$D$41,4,FALSE),"Merchant not found")</f>
        <v>North</v>
      </c>
      <c r="L528" s="19">
        <f>_xlfn.IFNA(HLOOKUP(F528,'MDR Rates'!$C$1:$F$2,2,FALSE),"N/A")</f>
        <v>0.02</v>
      </c>
      <c r="M528" s="20">
        <f t="shared" si="24"/>
        <v>46034</v>
      </c>
      <c r="N528" s="17">
        <f t="shared" si="26"/>
        <v>399</v>
      </c>
      <c r="O528" s="17">
        <f>GETPIVOTDATA("amount_inr",'Pivot Table'!$A$3,"merchant_name",I528,"Date",M528)</f>
        <v>399</v>
      </c>
      <c r="P528" s="17" t="str">
        <f t="shared" si="25"/>
        <v>Standard</v>
      </c>
    </row>
    <row r="529" spans="1:16">
      <c r="A529" s="17" t="s">
        <v>542</v>
      </c>
      <c r="B529" s="17">
        <v>154</v>
      </c>
      <c r="C529" s="17">
        <v>8</v>
      </c>
      <c r="D529" s="18">
        <v>46024.9166666667</v>
      </c>
      <c r="E529" s="17">
        <v>299</v>
      </c>
      <c r="F529" s="17" t="s">
        <v>24</v>
      </c>
      <c r="G529" s="17" t="s">
        <v>25</v>
      </c>
      <c r="H529" s="17">
        <v>81</v>
      </c>
      <c r="I529" s="17" t="str">
        <f>IFERROR(VLOOKUP(C529,Merchants!$A$2:$D$41,2,FALSE),"Merchant not found")</f>
        <v>Merchant_008</v>
      </c>
      <c r="J529" s="17" t="str">
        <f>IFERROR(VLOOKUP(C529,Merchants!$A$2:$D$41,3,FALSE),"Merchant not found")</f>
        <v>food_delivery</v>
      </c>
      <c r="K529" s="17" t="str">
        <f>IFERROR(VLOOKUP(C529,Merchants!$A$2:$D$41,4,FALSE),"Merchant not found")</f>
        <v>North</v>
      </c>
      <c r="L529" s="19">
        <f>_xlfn.IFNA(HLOOKUP(F529,'MDR Rates'!$C$1:$F$2,2,FALSE),"N/A")</f>
        <v>0.02</v>
      </c>
      <c r="M529" s="20">
        <f t="shared" si="24"/>
        <v>46024</v>
      </c>
      <c r="N529" s="17">
        <f t="shared" si="26"/>
        <v>299</v>
      </c>
      <c r="O529" s="17">
        <f>GETPIVOTDATA("amount_inr",'Pivot Table'!$A$3,"merchant_name",I529,"Date",M529)</f>
        <v>299</v>
      </c>
      <c r="P529" s="17" t="str">
        <f t="shared" si="25"/>
        <v>Standard</v>
      </c>
    </row>
    <row r="530" spans="1:16">
      <c r="A530" s="17" t="s">
        <v>543</v>
      </c>
      <c r="B530" s="17">
        <v>154</v>
      </c>
      <c r="C530" s="17">
        <v>7</v>
      </c>
      <c r="D530" s="18">
        <v>46024.9173611111</v>
      </c>
      <c r="E530" s="17">
        <v>499</v>
      </c>
      <c r="F530" s="17" t="s">
        <v>24</v>
      </c>
      <c r="G530" s="17" t="s">
        <v>25</v>
      </c>
      <c r="H530" s="17">
        <v>70</v>
      </c>
      <c r="I530" s="17" t="str">
        <f>IFERROR(VLOOKUP(C530,Merchants!$A$2:$D$41,2,FALSE),"Merchant not found")</f>
        <v>Merchant_007</v>
      </c>
      <c r="J530" s="17" t="str">
        <f>IFERROR(VLOOKUP(C530,Merchants!$A$2:$D$41,3,FALSE),"Merchant not found")</f>
        <v>food_delivery</v>
      </c>
      <c r="K530" s="17" t="str">
        <f>IFERROR(VLOOKUP(C530,Merchants!$A$2:$D$41,4,FALSE),"Merchant not found")</f>
        <v>East</v>
      </c>
      <c r="L530" s="19">
        <f>_xlfn.IFNA(HLOOKUP(F530,'MDR Rates'!$C$1:$F$2,2,FALSE),"N/A")</f>
        <v>0.02</v>
      </c>
      <c r="M530" s="20">
        <f t="shared" si="24"/>
        <v>46024</v>
      </c>
      <c r="N530" s="17">
        <f t="shared" si="26"/>
        <v>3797</v>
      </c>
      <c r="O530" s="17">
        <f>GETPIVOTDATA("amount_inr",'Pivot Table'!$A$3,"merchant_name",I530,"Date",M530)</f>
        <v>3797</v>
      </c>
      <c r="P530" s="17" t="str">
        <f t="shared" si="25"/>
        <v>Standard</v>
      </c>
    </row>
    <row r="531" spans="1:16">
      <c r="A531" s="17" t="s">
        <v>544</v>
      </c>
      <c r="B531" s="17">
        <v>154</v>
      </c>
      <c r="C531" s="17">
        <v>16</v>
      </c>
      <c r="D531" s="18">
        <v>46024.9180555556</v>
      </c>
      <c r="E531" s="17">
        <v>499</v>
      </c>
      <c r="F531" s="17" t="s">
        <v>24</v>
      </c>
      <c r="G531" s="17" t="s">
        <v>25</v>
      </c>
      <c r="H531" s="17">
        <v>71</v>
      </c>
      <c r="I531" s="17" t="str">
        <f>IFERROR(VLOOKUP(C531,Merchants!$A$2:$D$41,2,FALSE),"Merchant not found")</f>
        <v>Merchant_016</v>
      </c>
      <c r="J531" s="17" t="str">
        <f>IFERROR(VLOOKUP(C531,Merchants!$A$2:$D$41,3,FALSE),"Merchant not found")</f>
        <v>bill_payment</v>
      </c>
      <c r="K531" s="17" t="str">
        <f>IFERROR(VLOOKUP(C531,Merchants!$A$2:$D$41,4,FALSE),"Merchant not found")</f>
        <v>West</v>
      </c>
      <c r="L531" s="19">
        <f>_xlfn.IFNA(HLOOKUP(F531,'MDR Rates'!$C$1:$F$2,2,FALSE),"N/A")</f>
        <v>0.02</v>
      </c>
      <c r="M531" s="20">
        <f t="shared" si="24"/>
        <v>46024</v>
      </c>
      <c r="N531" s="17">
        <f t="shared" si="26"/>
        <v>499</v>
      </c>
      <c r="O531" s="17">
        <f>GETPIVOTDATA("amount_inr",'Pivot Table'!$A$3,"merchant_name",I531,"Date",M531)</f>
        <v>499</v>
      </c>
      <c r="P531" s="17" t="str">
        <f t="shared" si="25"/>
        <v>Standard</v>
      </c>
    </row>
    <row r="532" spans="1:16">
      <c r="A532" s="17" t="s">
        <v>545</v>
      </c>
      <c r="B532" s="17">
        <v>154</v>
      </c>
      <c r="C532" s="17">
        <v>36</v>
      </c>
      <c r="D532" s="18">
        <v>46024.91875</v>
      </c>
      <c r="E532" s="17">
        <v>299</v>
      </c>
      <c r="F532" s="17" t="s">
        <v>24</v>
      </c>
      <c r="G532" s="17" t="s">
        <v>10</v>
      </c>
      <c r="H532" s="17">
        <v>81</v>
      </c>
      <c r="I532" s="17" t="str">
        <f>IFERROR(VLOOKUP(C532,Merchants!$A$2:$D$41,2,FALSE),"Merchant not found")</f>
        <v>Merchant_036</v>
      </c>
      <c r="J532" s="17" t="str">
        <f>IFERROR(VLOOKUP(C532,Merchants!$A$2:$D$41,3,FALSE),"Merchant not found")</f>
        <v>entertainment</v>
      </c>
      <c r="K532" s="17" t="str">
        <f>IFERROR(VLOOKUP(C532,Merchants!$A$2:$D$41,4,FALSE),"Merchant not found")</f>
        <v>East</v>
      </c>
      <c r="L532" s="19">
        <f>_xlfn.IFNA(HLOOKUP(F532,'MDR Rates'!$C$1:$F$2,2,FALSE),"N/A")</f>
        <v>0.02</v>
      </c>
      <c r="M532" s="20">
        <f t="shared" si="24"/>
        <v>46024</v>
      </c>
      <c r="N532" s="17">
        <f t="shared" si="26"/>
        <v>299</v>
      </c>
      <c r="O532" s="17">
        <f>GETPIVOTDATA("amount_inr",'Pivot Table'!$A$3,"merchant_name",I532,"Date",M532)</f>
        <v>299</v>
      </c>
      <c r="P532" s="17" t="str">
        <f t="shared" si="25"/>
        <v>Standard</v>
      </c>
    </row>
    <row r="533" spans="1:16">
      <c r="A533" s="17" t="s">
        <v>546</v>
      </c>
      <c r="B533" s="17">
        <v>287</v>
      </c>
      <c r="C533" s="17">
        <v>15</v>
      </c>
      <c r="D533" s="18">
        <v>46036.5833333333</v>
      </c>
      <c r="E533" s="17">
        <v>399</v>
      </c>
      <c r="F533" s="17" t="s">
        <v>24</v>
      </c>
      <c r="G533" s="17" t="s">
        <v>25</v>
      </c>
      <c r="H533" s="17">
        <v>71</v>
      </c>
      <c r="I533" s="17" t="str">
        <f>IFERROR(VLOOKUP(C533,Merchants!$A$2:$D$41,2,FALSE),"Merchant not found")</f>
        <v>Merchant_015</v>
      </c>
      <c r="J533" s="17" t="str">
        <f>IFERROR(VLOOKUP(C533,Merchants!$A$2:$D$41,3,FALSE),"Merchant not found")</f>
        <v>travel</v>
      </c>
      <c r="K533" s="17" t="str">
        <f>IFERROR(VLOOKUP(C533,Merchants!$A$2:$D$41,4,FALSE),"Merchant not found")</f>
        <v>North</v>
      </c>
      <c r="L533" s="19">
        <f>_xlfn.IFNA(HLOOKUP(F533,'MDR Rates'!$C$1:$F$2,2,FALSE),"N/A")</f>
        <v>0.02</v>
      </c>
      <c r="M533" s="20">
        <f t="shared" si="24"/>
        <v>46036</v>
      </c>
      <c r="N533" s="17">
        <f t="shared" si="26"/>
        <v>399</v>
      </c>
      <c r="O533" s="17">
        <f>GETPIVOTDATA("amount_inr",'Pivot Table'!$A$3,"merchant_name",I533,"Date",M533)</f>
        <v>399</v>
      </c>
      <c r="P533" s="17" t="str">
        <f t="shared" si="25"/>
        <v>Standard</v>
      </c>
    </row>
    <row r="534" spans="1:16">
      <c r="A534" s="17" t="s">
        <v>547</v>
      </c>
      <c r="B534" s="17">
        <v>287</v>
      </c>
      <c r="C534" s="17">
        <v>12</v>
      </c>
      <c r="D534" s="18">
        <v>46036.5840277778</v>
      </c>
      <c r="E534" s="17">
        <v>499</v>
      </c>
      <c r="F534" s="17" t="s">
        <v>24</v>
      </c>
      <c r="G534" s="17" t="s">
        <v>25</v>
      </c>
      <c r="H534" s="17">
        <v>87</v>
      </c>
      <c r="I534" s="17" t="str">
        <f>IFERROR(VLOOKUP(C534,Merchants!$A$2:$D$41,2,FALSE),"Merchant not found")</f>
        <v>Merchant_012</v>
      </c>
      <c r="J534" s="17" t="str">
        <f>IFERROR(VLOOKUP(C534,Merchants!$A$2:$D$41,3,FALSE),"Merchant not found")</f>
        <v>ecommerce</v>
      </c>
      <c r="K534" s="17" t="str">
        <f>IFERROR(VLOOKUP(C534,Merchants!$A$2:$D$41,4,FALSE),"Merchant not found")</f>
        <v>East</v>
      </c>
      <c r="L534" s="19">
        <f>_xlfn.IFNA(HLOOKUP(F534,'MDR Rates'!$C$1:$F$2,2,FALSE),"N/A")</f>
        <v>0.02</v>
      </c>
      <c r="M534" s="20">
        <f t="shared" si="24"/>
        <v>46036</v>
      </c>
      <c r="N534" s="17">
        <f t="shared" si="26"/>
        <v>548</v>
      </c>
      <c r="O534" s="17">
        <f>GETPIVOTDATA("amount_inr",'Pivot Table'!$A$3,"merchant_name",I534,"Date",M534)</f>
        <v>548</v>
      </c>
      <c r="P534" s="17" t="str">
        <f t="shared" si="25"/>
        <v>Standard</v>
      </c>
    </row>
    <row r="535" spans="1:16">
      <c r="A535" s="17" t="s">
        <v>548</v>
      </c>
      <c r="B535" s="17">
        <v>287</v>
      </c>
      <c r="C535" s="17">
        <v>26</v>
      </c>
      <c r="D535" s="18">
        <v>46036.5847222222</v>
      </c>
      <c r="E535" s="17">
        <v>299</v>
      </c>
      <c r="F535" s="17" t="s">
        <v>24</v>
      </c>
      <c r="G535" s="17" t="s">
        <v>25</v>
      </c>
      <c r="H535" s="17">
        <v>72</v>
      </c>
      <c r="I535" s="17" t="str">
        <f>IFERROR(VLOOKUP(C535,Merchants!$A$2:$D$41,2,FALSE),"Merchant not found")</f>
        <v>Merchant_026</v>
      </c>
      <c r="J535" s="17" t="str">
        <f>IFERROR(VLOOKUP(C535,Merchants!$A$2:$D$41,3,FALSE),"Merchant not found")</f>
        <v>food_delivery</v>
      </c>
      <c r="K535" s="17" t="str">
        <f>IFERROR(VLOOKUP(C535,Merchants!$A$2:$D$41,4,FALSE),"Merchant not found")</f>
        <v>East</v>
      </c>
      <c r="L535" s="19">
        <f>_xlfn.IFNA(HLOOKUP(F535,'MDR Rates'!$C$1:$F$2,2,FALSE),"N/A")</f>
        <v>0.02</v>
      </c>
      <c r="M535" s="20">
        <f t="shared" si="24"/>
        <v>46036</v>
      </c>
      <c r="N535" s="17">
        <f t="shared" si="26"/>
        <v>299</v>
      </c>
      <c r="O535" s="17">
        <f>GETPIVOTDATA("amount_inr",'Pivot Table'!$A$3,"merchant_name",I535,"Date",M535)</f>
        <v>299</v>
      </c>
      <c r="P535" s="17" t="str">
        <f t="shared" si="25"/>
        <v>Standard</v>
      </c>
    </row>
    <row r="536" spans="1:16">
      <c r="A536" s="17" t="s">
        <v>549</v>
      </c>
      <c r="B536" s="17">
        <v>287</v>
      </c>
      <c r="C536" s="17">
        <v>29</v>
      </c>
      <c r="D536" s="18">
        <v>46036.5854166667</v>
      </c>
      <c r="E536" s="17">
        <v>499</v>
      </c>
      <c r="F536" s="17" t="s">
        <v>24</v>
      </c>
      <c r="G536" s="17" t="s">
        <v>10</v>
      </c>
      <c r="H536" s="17">
        <v>87</v>
      </c>
      <c r="I536" s="17" t="str">
        <f>IFERROR(VLOOKUP(C536,Merchants!$A$2:$D$41,2,FALSE),"Merchant not found")</f>
        <v>Merchant_029</v>
      </c>
      <c r="J536" s="17" t="str">
        <f>IFERROR(VLOOKUP(C536,Merchants!$A$2:$D$41,3,FALSE),"Merchant not found")</f>
        <v>ecommerce</v>
      </c>
      <c r="K536" s="17" t="str">
        <f>IFERROR(VLOOKUP(C536,Merchants!$A$2:$D$41,4,FALSE),"Merchant not found")</f>
        <v>North</v>
      </c>
      <c r="L536" s="19">
        <f>_xlfn.IFNA(HLOOKUP(F536,'MDR Rates'!$C$1:$F$2,2,FALSE),"N/A")</f>
        <v>0.02</v>
      </c>
      <c r="M536" s="20">
        <f t="shared" si="24"/>
        <v>46036</v>
      </c>
      <c r="N536" s="17">
        <f t="shared" si="26"/>
        <v>1998</v>
      </c>
      <c r="O536" s="17">
        <f>GETPIVOTDATA("amount_inr",'Pivot Table'!$A$3,"merchant_name",I536,"Date",M536)</f>
        <v>1998</v>
      </c>
      <c r="P536" s="17" t="str">
        <f t="shared" si="25"/>
        <v>Standard</v>
      </c>
    </row>
    <row r="537" spans="1:16">
      <c r="A537" s="17" t="s">
        <v>550</v>
      </c>
      <c r="B537" s="17">
        <v>200</v>
      </c>
      <c r="C537" s="17">
        <v>14</v>
      </c>
      <c r="D537" s="18">
        <v>46023.9166666667</v>
      </c>
      <c r="E537" s="17">
        <v>299</v>
      </c>
      <c r="F537" s="17" t="s">
        <v>24</v>
      </c>
      <c r="G537" s="17" t="s">
        <v>25</v>
      </c>
      <c r="H537" s="17">
        <v>77</v>
      </c>
      <c r="I537" s="17" t="str">
        <f>IFERROR(VLOOKUP(C537,Merchants!$A$2:$D$41,2,FALSE),"Merchant not found")</f>
        <v>Merchant_014</v>
      </c>
      <c r="J537" s="17" t="str">
        <f>IFERROR(VLOOKUP(C537,Merchants!$A$2:$D$41,3,FALSE),"Merchant not found")</f>
        <v>grocery</v>
      </c>
      <c r="K537" s="17" t="str">
        <f>IFERROR(VLOOKUP(C537,Merchants!$A$2:$D$41,4,FALSE),"Merchant not found")</f>
        <v>East</v>
      </c>
      <c r="L537" s="19">
        <f>_xlfn.IFNA(HLOOKUP(F537,'MDR Rates'!$C$1:$F$2,2,FALSE),"N/A")</f>
        <v>0.02</v>
      </c>
      <c r="M537" s="20">
        <f t="shared" si="24"/>
        <v>46023</v>
      </c>
      <c r="N537" s="17">
        <f t="shared" si="26"/>
        <v>299</v>
      </c>
      <c r="O537" s="17">
        <f>GETPIVOTDATA("amount_inr",'Pivot Table'!$A$3,"merchant_name",I537,"Date",M537)</f>
        <v>299</v>
      </c>
      <c r="P537" s="17" t="str">
        <f t="shared" si="25"/>
        <v>Standard</v>
      </c>
    </row>
    <row r="538" spans="1:16">
      <c r="A538" s="17" t="s">
        <v>551</v>
      </c>
      <c r="B538" s="17">
        <v>200</v>
      </c>
      <c r="C538" s="17">
        <v>5</v>
      </c>
      <c r="D538" s="18">
        <v>46023.9173611111</v>
      </c>
      <c r="E538" s="17">
        <v>499</v>
      </c>
      <c r="F538" s="17" t="s">
        <v>24</v>
      </c>
      <c r="G538" s="17" t="s">
        <v>25</v>
      </c>
      <c r="H538" s="17">
        <v>66</v>
      </c>
      <c r="I538" s="17" t="str">
        <f>IFERROR(VLOOKUP(C538,Merchants!$A$2:$D$41,2,FALSE),"Merchant not found")</f>
        <v>Merchant_005</v>
      </c>
      <c r="J538" s="17" t="str">
        <f>IFERROR(VLOOKUP(C538,Merchants!$A$2:$D$41,3,FALSE),"Merchant not found")</f>
        <v>recharge</v>
      </c>
      <c r="K538" s="17" t="str">
        <f>IFERROR(VLOOKUP(C538,Merchants!$A$2:$D$41,4,FALSE),"Merchant not found")</f>
        <v>South</v>
      </c>
      <c r="L538" s="19">
        <f>_xlfn.IFNA(HLOOKUP(F538,'MDR Rates'!$C$1:$F$2,2,FALSE),"N/A")</f>
        <v>0.02</v>
      </c>
      <c r="M538" s="20">
        <f t="shared" si="24"/>
        <v>46023</v>
      </c>
      <c r="N538" s="17">
        <f t="shared" si="26"/>
        <v>499</v>
      </c>
      <c r="O538" s="17">
        <f>GETPIVOTDATA("amount_inr",'Pivot Table'!$A$3,"merchant_name",I538,"Date",M538)</f>
        <v>499</v>
      </c>
      <c r="P538" s="17" t="str">
        <f t="shared" si="25"/>
        <v>Standard</v>
      </c>
    </row>
    <row r="539" spans="1:16">
      <c r="A539" s="17" t="s">
        <v>552</v>
      </c>
      <c r="B539" s="17">
        <v>200</v>
      </c>
      <c r="C539" s="17">
        <v>35</v>
      </c>
      <c r="D539" s="18">
        <v>46023.9180555556</v>
      </c>
      <c r="E539" s="17">
        <v>299</v>
      </c>
      <c r="F539" s="17" t="s">
        <v>24</v>
      </c>
      <c r="G539" s="17" t="s">
        <v>25</v>
      </c>
      <c r="H539" s="17">
        <v>83</v>
      </c>
      <c r="I539" s="17" t="str">
        <f>IFERROR(VLOOKUP(C539,Merchants!$A$2:$D$41,2,FALSE),"Merchant not found")</f>
        <v>Merchant_035</v>
      </c>
      <c r="J539" s="17" t="str">
        <f>IFERROR(VLOOKUP(C539,Merchants!$A$2:$D$41,3,FALSE),"Merchant not found")</f>
        <v>recharge</v>
      </c>
      <c r="K539" s="17" t="str">
        <f>IFERROR(VLOOKUP(C539,Merchants!$A$2:$D$41,4,FALSE),"Merchant not found")</f>
        <v>East</v>
      </c>
      <c r="L539" s="19">
        <f>_xlfn.IFNA(HLOOKUP(F539,'MDR Rates'!$C$1:$F$2,2,FALSE),"N/A")</f>
        <v>0.02</v>
      </c>
      <c r="M539" s="20">
        <f t="shared" si="24"/>
        <v>46023</v>
      </c>
      <c r="N539" s="17">
        <f t="shared" si="26"/>
        <v>798</v>
      </c>
      <c r="O539" s="17">
        <f>GETPIVOTDATA("amount_inr",'Pivot Table'!$A$3,"merchant_name",I539,"Date",M539)</f>
        <v>798</v>
      </c>
      <c r="P539" s="17" t="str">
        <f t="shared" si="25"/>
        <v>Standard</v>
      </c>
    </row>
    <row r="540" spans="1:16">
      <c r="A540" s="17" t="s">
        <v>553</v>
      </c>
      <c r="B540" s="17">
        <v>200</v>
      </c>
      <c r="C540" s="17">
        <v>21</v>
      </c>
      <c r="D540" s="18">
        <v>46023.91875</v>
      </c>
      <c r="E540" s="17">
        <v>299</v>
      </c>
      <c r="F540" s="17" t="s">
        <v>24</v>
      </c>
      <c r="G540" s="17" t="s">
        <v>10</v>
      </c>
      <c r="H540" s="17">
        <v>89</v>
      </c>
      <c r="I540" s="17" t="str">
        <f>IFERROR(VLOOKUP(C540,Merchants!$A$2:$D$41,2,FALSE),"Merchant not found")</f>
        <v>Merchant_021</v>
      </c>
      <c r="J540" s="17" t="str">
        <f>IFERROR(VLOOKUP(C540,Merchants!$A$2:$D$41,3,FALSE),"Merchant not found")</f>
        <v>food_delivery</v>
      </c>
      <c r="K540" s="17" t="str">
        <f>IFERROR(VLOOKUP(C540,Merchants!$A$2:$D$41,4,FALSE),"Merchant not found")</f>
        <v>East</v>
      </c>
      <c r="L540" s="19">
        <f>_xlfn.IFNA(HLOOKUP(F540,'MDR Rates'!$C$1:$F$2,2,FALSE),"N/A")</f>
        <v>0.02</v>
      </c>
      <c r="M540" s="20">
        <f t="shared" si="24"/>
        <v>46023</v>
      </c>
      <c r="N540" s="17">
        <f t="shared" si="26"/>
        <v>5298</v>
      </c>
      <c r="O540" s="17">
        <f>GETPIVOTDATA("amount_inr",'Pivot Table'!$A$3,"merchant_name",I540,"Date",M540)</f>
        <v>5298</v>
      </c>
      <c r="P540" s="17" t="str">
        <f t="shared" si="25"/>
        <v>Standard</v>
      </c>
    </row>
    <row r="541" spans="1:16">
      <c r="A541" s="17" t="s">
        <v>554</v>
      </c>
      <c r="B541" s="17">
        <v>59</v>
      </c>
      <c r="C541" s="17">
        <v>32</v>
      </c>
      <c r="D541" s="18">
        <v>46031.875</v>
      </c>
      <c r="E541" s="17">
        <v>499</v>
      </c>
      <c r="F541" s="17" t="s">
        <v>24</v>
      </c>
      <c r="G541" s="17" t="s">
        <v>25</v>
      </c>
      <c r="H541" s="17">
        <v>80</v>
      </c>
      <c r="I541" s="17" t="str">
        <f>IFERROR(VLOOKUP(C541,Merchants!$A$2:$D$41,2,FALSE),"Merchant not found")</f>
        <v>Merchant_032</v>
      </c>
      <c r="J541" s="17" t="str">
        <f>IFERROR(VLOOKUP(C541,Merchants!$A$2:$D$41,3,FALSE),"Merchant not found")</f>
        <v>food_delivery</v>
      </c>
      <c r="K541" s="17" t="str">
        <f>IFERROR(VLOOKUP(C541,Merchants!$A$2:$D$41,4,FALSE),"Merchant not found")</f>
        <v>West</v>
      </c>
      <c r="L541" s="19">
        <f>_xlfn.IFNA(HLOOKUP(F541,'MDR Rates'!$C$1:$F$2,2,FALSE),"N/A")</f>
        <v>0.02</v>
      </c>
      <c r="M541" s="20">
        <f t="shared" si="24"/>
        <v>46031</v>
      </c>
      <c r="N541" s="17">
        <f t="shared" si="26"/>
        <v>499</v>
      </c>
      <c r="O541" s="17">
        <f>GETPIVOTDATA("amount_inr",'Pivot Table'!$A$3,"merchant_name",I541,"Date",M541)</f>
        <v>499</v>
      </c>
      <c r="P541" s="17" t="str">
        <f t="shared" si="25"/>
        <v>Standard</v>
      </c>
    </row>
    <row r="542" spans="1:16">
      <c r="A542" s="17" t="s">
        <v>555</v>
      </c>
      <c r="B542" s="17">
        <v>59</v>
      </c>
      <c r="C542" s="17">
        <v>39</v>
      </c>
      <c r="D542" s="18">
        <v>46031.8756944444</v>
      </c>
      <c r="E542" s="17">
        <v>399</v>
      </c>
      <c r="F542" s="17" t="s">
        <v>24</v>
      </c>
      <c r="G542" s="17" t="s">
        <v>25</v>
      </c>
      <c r="H542" s="17">
        <v>85</v>
      </c>
      <c r="I542" s="17" t="str">
        <f>IFERROR(VLOOKUP(C542,Merchants!$A$2:$D$41,2,FALSE),"Merchant not found")</f>
        <v>Merchant_039</v>
      </c>
      <c r="J542" s="17" t="str">
        <f>IFERROR(VLOOKUP(C542,Merchants!$A$2:$D$41,3,FALSE),"Merchant not found")</f>
        <v>entertainment</v>
      </c>
      <c r="K542" s="17" t="str">
        <f>IFERROR(VLOOKUP(C542,Merchants!$A$2:$D$41,4,FALSE),"Merchant not found")</f>
        <v>North</v>
      </c>
      <c r="L542" s="19">
        <f>_xlfn.IFNA(HLOOKUP(F542,'MDR Rates'!$C$1:$F$2,2,FALSE),"N/A")</f>
        <v>0.02</v>
      </c>
      <c r="M542" s="20">
        <f t="shared" si="24"/>
        <v>46031</v>
      </c>
      <c r="N542" s="17">
        <f t="shared" si="26"/>
        <v>399</v>
      </c>
      <c r="O542" s="17">
        <f>GETPIVOTDATA("amount_inr",'Pivot Table'!$A$3,"merchant_name",I542,"Date",M542)</f>
        <v>399</v>
      </c>
      <c r="P542" s="17" t="str">
        <f t="shared" si="25"/>
        <v>Standard</v>
      </c>
    </row>
    <row r="543" spans="1:16">
      <c r="A543" s="17" t="s">
        <v>556</v>
      </c>
      <c r="B543" s="17">
        <v>59</v>
      </c>
      <c r="C543" s="17">
        <v>38</v>
      </c>
      <c r="D543" s="18">
        <v>46031.8763888889</v>
      </c>
      <c r="E543" s="17">
        <v>299</v>
      </c>
      <c r="F543" s="17" t="s">
        <v>24</v>
      </c>
      <c r="G543" s="17" t="s">
        <v>25</v>
      </c>
      <c r="H543" s="17">
        <v>82</v>
      </c>
      <c r="I543" s="17" t="str">
        <f>IFERROR(VLOOKUP(C543,Merchants!$A$2:$D$41,2,FALSE),"Merchant not found")</f>
        <v>Merchant_038</v>
      </c>
      <c r="J543" s="17" t="str">
        <f>IFERROR(VLOOKUP(C543,Merchants!$A$2:$D$41,3,FALSE),"Merchant not found")</f>
        <v>grocery</v>
      </c>
      <c r="K543" s="17" t="str">
        <f>IFERROR(VLOOKUP(C543,Merchants!$A$2:$D$41,4,FALSE),"Merchant not found")</f>
        <v>East</v>
      </c>
      <c r="L543" s="19">
        <f>_xlfn.IFNA(HLOOKUP(F543,'MDR Rates'!$C$1:$F$2,2,FALSE),"N/A")</f>
        <v>0.02</v>
      </c>
      <c r="M543" s="20">
        <f t="shared" si="24"/>
        <v>46031</v>
      </c>
      <c r="N543" s="17">
        <f t="shared" si="26"/>
        <v>348</v>
      </c>
      <c r="O543" s="17">
        <f>GETPIVOTDATA("amount_inr",'Pivot Table'!$A$3,"merchant_name",I543,"Date",M543)</f>
        <v>348</v>
      </c>
      <c r="P543" s="17" t="str">
        <f t="shared" si="25"/>
        <v>Standard</v>
      </c>
    </row>
    <row r="544" spans="1:16">
      <c r="A544" s="17" t="s">
        <v>557</v>
      </c>
      <c r="B544" s="17">
        <v>59</v>
      </c>
      <c r="C544" s="17">
        <v>23</v>
      </c>
      <c r="D544" s="18">
        <v>46031.8770833333</v>
      </c>
      <c r="E544" s="17">
        <v>399</v>
      </c>
      <c r="F544" s="17" t="s">
        <v>24</v>
      </c>
      <c r="G544" s="17" t="s">
        <v>10</v>
      </c>
      <c r="H544" s="17">
        <v>71</v>
      </c>
      <c r="I544" s="17" t="str">
        <f>IFERROR(VLOOKUP(C544,Merchants!$A$2:$D$41,2,FALSE),"Merchant not found")</f>
        <v>Merchant_023</v>
      </c>
      <c r="J544" s="17" t="str">
        <f>IFERROR(VLOOKUP(C544,Merchants!$A$2:$D$41,3,FALSE),"Merchant not found")</f>
        <v>travel</v>
      </c>
      <c r="K544" s="17" t="str">
        <f>IFERROR(VLOOKUP(C544,Merchants!$A$2:$D$41,4,FALSE),"Merchant not found")</f>
        <v>North</v>
      </c>
      <c r="L544" s="19">
        <f>_xlfn.IFNA(HLOOKUP(F544,'MDR Rates'!$C$1:$F$2,2,FALSE),"N/A")</f>
        <v>0.02</v>
      </c>
      <c r="M544" s="20">
        <f t="shared" si="24"/>
        <v>46031</v>
      </c>
      <c r="N544" s="17">
        <f t="shared" si="26"/>
        <v>399</v>
      </c>
      <c r="O544" s="17">
        <f>GETPIVOTDATA("amount_inr",'Pivot Table'!$A$3,"merchant_name",I544,"Date",M544)</f>
        <v>399</v>
      </c>
      <c r="P544" s="17" t="str">
        <f t="shared" si="25"/>
        <v>Standard</v>
      </c>
    </row>
    <row r="545" spans="1:16">
      <c r="A545" s="17" t="s">
        <v>558</v>
      </c>
      <c r="B545" s="17">
        <v>345</v>
      </c>
      <c r="C545" s="17">
        <v>40</v>
      </c>
      <c r="D545" s="18">
        <v>46045.375</v>
      </c>
      <c r="E545" s="17">
        <v>499</v>
      </c>
      <c r="F545" s="17" t="s">
        <v>24</v>
      </c>
      <c r="G545" s="17" t="s">
        <v>25</v>
      </c>
      <c r="H545" s="17">
        <v>65</v>
      </c>
      <c r="I545" s="17" t="str">
        <f>IFERROR(VLOOKUP(C545,Merchants!$A$2:$D$41,2,FALSE),"Merchant not found")</f>
        <v>Merchant_040</v>
      </c>
      <c r="J545" s="17" t="str">
        <f>IFERROR(VLOOKUP(C545,Merchants!$A$2:$D$41,3,FALSE),"Merchant not found")</f>
        <v>entertainment</v>
      </c>
      <c r="K545" s="17" t="str">
        <f>IFERROR(VLOOKUP(C545,Merchants!$A$2:$D$41,4,FALSE),"Merchant not found")</f>
        <v>South</v>
      </c>
      <c r="L545" s="19">
        <f>_xlfn.IFNA(HLOOKUP(F545,'MDR Rates'!$C$1:$F$2,2,FALSE),"N/A")</f>
        <v>0.02</v>
      </c>
      <c r="M545" s="20">
        <f t="shared" si="24"/>
        <v>46045</v>
      </c>
      <c r="N545" s="17">
        <f t="shared" si="26"/>
        <v>598</v>
      </c>
      <c r="O545" s="17">
        <f>GETPIVOTDATA("amount_inr",'Pivot Table'!$A$3,"merchant_name",I545,"Date",M545)</f>
        <v>598</v>
      </c>
      <c r="P545" s="17" t="str">
        <f t="shared" si="25"/>
        <v>Standard</v>
      </c>
    </row>
    <row r="546" spans="1:16">
      <c r="A546" s="17" t="s">
        <v>559</v>
      </c>
      <c r="B546" s="17">
        <v>345</v>
      </c>
      <c r="C546" s="17">
        <v>9</v>
      </c>
      <c r="D546" s="18">
        <v>46045.3756944444</v>
      </c>
      <c r="E546" s="17">
        <v>399</v>
      </c>
      <c r="F546" s="17" t="s">
        <v>24</v>
      </c>
      <c r="G546" s="17" t="s">
        <v>25</v>
      </c>
      <c r="H546" s="17">
        <v>67</v>
      </c>
      <c r="I546" s="17" t="str">
        <f>IFERROR(VLOOKUP(C546,Merchants!$A$2:$D$41,2,FALSE),"Merchant not found")</f>
        <v>Merchant_009</v>
      </c>
      <c r="J546" s="17" t="str">
        <f>IFERROR(VLOOKUP(C546,Merchants!$A$2:$D$41,3,FALSE),"Merchant not found")</f>
        <v>ecommerce</v>
      </c>
      <c r="K546" s="17" t="str">
        <f>IFERROR(VLOOKUP(C546,Merchants!$A$2:$D$41,4,FALSE),"Merchant not found")</f>
        <v>North</v>
      </c>
      <c r="L546" s="19">
        <f>_xlfn.IFNA(HLOOKUP(F546,'MDR Rates'!$C$1:$F$2,2,FALSE),"N/A")</f>
        <v>0.02</v>
      </c>
      <c r="M546" s="20">
        <f t="shared" si="24"/>
        <v>46045</v>
      </c>
      <c r="N546" s="17">
        <f t="shared" si="26"/>
        <v>898</v>
      </c>
      <c r="O546" s="17">
        <f>GETPIVOTDATA("amount_inr",'Pivot Table'!$A$3,"merchant_name",I546,"Date",M546)</f>
        <v>898</v>
      </c>
      <c r="P546" s="17" t="str">
        <f t="shared" si="25"/>
        <v>Standard</v>
      </c>
    </row>
    <row r="547" spans="1:16">
      <c r="A547" s="17" t="s">
        <v>560</v>
      </c>
      <c r="B547" s="17">
        <v>345</v>
      </c>
      <c r="C547" s="17">
        <v>16</v>
      </c>
      <c r="D547" s="18">
        <v>46045.3763888889</v>
      </c>
      <c r="E547" s="17">
        <v>399</v>
      </c>
      <c r="F547" s="17" t="s">
        <v>24</v>
      </c>
      <c r="G547" s="17" t="s">
        <v>25</v>
      </c>
      <c r="H547" s="17">
        <v>67</v>
      </c>
      <c r="I547" s="17" t="str">
        <f>IFERROR(VLOOKUP(C547,Merchants!$A$2:$D$41,2,FALSE),"Merchant not found")</f>
        <v>Merchant_016</v>
      </c>
      <c r="J547" s="17" t="str">
        <f>IFERROR(VLOOKUP(C547,Merchants!$A$2:$D$41,3,FALSE),"Merchant not found")</f>
        <v>bill_payment</v>
      </c>
      <c r="K547" s="17" t="str">
        <f>IFERROR(VLOOKUP(C547,Merchants!$A$2:$D$41,4,FALSE),"Merchant not found")</f>
        <v>West</v>
      </c>
      <c r="L547" s="19">
        <f>_xlfn.IFNA(HLOOKUP(F547,'MDR Rates'!$C$1:$F$2,2,FALSE),"N/A")</f>
        <v>0.02</v>
      </c>
      <c r="M547" s="20">
        <f t="shared" si="24"/>
        <v>46045</v>
      </c>
      <c r="N547" s="17">
        <f t="shared" si="26"/>
        <v>399</v>
      </c>
      <c r="O547" s="17">
        <f>GETPIVOTDATA("amount_inr",'Pivot Table'!$A$3,"merchant_name",I547,"Date",M547)</f>
        <v>399</v>
      </c>
      <c r="P547" s="17" t="str">
        <f t="shared" si="25"/>
        <v>Standard</v>
      </c>
    </row>
    <row r="548" spans="1:16">
      <c r="A548" s="17" t="s">
        <v>561</v>
      </c>
      <c r="B548" s="17">
        <v>345</v>
      </c>
      <c r="C548" s="17">
        <v>12</v>
      </c>
      <c r="D548" s="18">
        <v>46045.3770833333</v>
      </c>
      <c r="E548" s="17">
        <v>399</v>
      </c>
      <c r="F548" s="17" t="s">
        <v>24</v>
      </c>
      <c r="G548" s="17" t="s">
        <v>10</v>
      </c>
      <c r="H548" s="17">
        <v>69</v>
      </c>
      <c r="I548" s="17" t="str">
        <f>IFERROR(VLOOKUP(C548,Merchants!$A$2:$D$41,2,FALSE),"Merchant not found")</f>
        <v>Merchant_012</v>
      </c>
      <c r="J548" s="17" t="str">
        <f>IFERROR(VLOOKUP(C548,Merchants!$A$2:$D$41,3,FALSE),"Merchant not found")</f>
        <v>ecommerce</v>
      </c>
      <c r="K548" s="17" t="str">
        <f>IFERROR(VLOOKUP(C548,Merchants!$A$2:$D$41,4,FALSE),"Merchant not found")</f>
        <v>East</v>
      </c>
      <c r="L548" s="19">
        <f>_xlfn.IFNA(HLOOKUP(F548,'MDR Rates'!$C$1:$F$2,2,FALSE),"N/A")</f>
        <v>0.02</v>
      </c>
      <c r="M548" s="20">
        <f t="shared" si="24"/>
        <v>46045</v>
      </c>
      <c r="N548" s="17">
        <f t="shared" si="26"/>
        <v>448</v>
      </c>
      <c r="O548" s="17">
        <f>GETPIVOTDATA("amount_inr",'Pivot Table'!$A$3,"merchant_name",I548,"Date",M548)</f>
        <v>448</v>
      </c>
      <c r="P548" s="17" t="str">
        <f t="shared" si="25"/>
        <v>Standard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480"/>
  <sheetViews>
    <sheetView tabSelected="1" zoomScale="62" zoomScaleNormal="62" topLeftCell="D1" workbookViewId="0">
      <selection activeCell="K51" sqref="K51"/>
    </sheetView>
  </sheetViews>
  <sheetFormatPr defaultColWidth="9" defaultRowHeight="16.8"/>
  <cols>
    <col min="1" max="1" width="12.2890625"/>
    <col min="2" max="2" width="17.5625"/>
    <col min="3" max="3" width="18.0625"/>
    <col min="4" max="4" width="20.1875"/>
    <col min="5" max="5" width="12.6875"/>
    <col min="6" max="6" width="15.0625"/>
    <col min="7" max="15" width="22.25"/>
    <col min="16" max="16" width="26.125"/>
    <col min="17" max="17" width="27.3125"/>
    <col min="18" max="18" width="23.3125"/>
    <col min="19" max="553" width="14.875"/>
    <col min="554" max="554" width="10.875"/>
  </cols>
  <sheetData>
    <row r="2" ht="20.4" spans="1:18">
      <c r="A2" s="1" t="s">
        <v>623</v>
      </c>
      <c r="B2" s="2"/>
      <c r="C2" s="2"/>
      <c r="D2" s="2"/>
      <c r="F2" s="3" t="s">
        <v>624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</row>
    <row r="3" ht="17.6" spans="1:18">
      <c r="A3" s="6" t="s">
        <v>619</v>
      </c>
      <c r="B3" s="6" t="s">
        <v>562</v>
      </c>
      <c r="C3" s="7" t="s">
        <v>625</v>
      </c>
      <c r="D3"/>
      <c r="F3" s="8"/>
      <c r="G3" s="8" t="s">
        <v>6</v>
      </c>
      <c r="H3" s="8" t="s">
        <v>626</v>
      </c>
    </row>
    <row r="4" ht="17.6" spans="1:18">
      <c r="A4" s="9">
        <v>46023</v>
      </c>
      <c r="B4" s="7" t="s">
        <v>574</v>
      </c>
      <c r="C4" s="10">
        <v>499</v>
      </c>
      <c r="D4"/>
      <c r="F4" s="8"/>
      <c r="G4" s="8" t="s">
        <v>10</v>
      </c>
      <c r="H4" s="8"/>
      <c r="I4" s="8"/>
      <c r="J4" s="8" t="s">
        <v>38</v>
      </c>
      <c r="K4" s="8"/>
      <c r="L4" s="8"/>
      <c r="M4" s="8" t="s">
        <v>25</v>
      </c>
      <c r="N4" s="8"/>
      <c r="O4" s="8"/>
      <c r="P4" s="8" t="s">
        <v>627</v>
      </c>
      <c r="Q4" s="8" t="s">
        <v>628</v>
      </c>
      <c r="R4" s="8" t="s">
        <v>629</v>
      </c>
    </row>
    <row r="5" ht="17.6" spans="1:18">
      <c r="A5" s="9">
        <v>46023</v>
      </c>
      <c r="B5" s="7" t="s">
        <v>576</v>
      </c>
      <c r="C5" s="10">
        <v>49</v>
      </c>
      <c r="D5"/>
      <c r="F5" s="8" t="s">
        <v>2</v>
      </c>
      <c r="G5" s="8" t="s">
        <v>630</v>
      </c>
      <c r="H5" s="8" t="s">
        <v>631</v>
      </c>
      <c r="I5" s="8" t="s">
        <v>625</v>
      </c>
      <c r="J5" s="8" t="s">
        <v>630</v>
      </c>
      <c r="K5" s="8" t="s">
        <v>631</v>
      </c>
      <c r="L5" s="8" t="s">
        <v>625</v>
      </c>
      <c r="M5" s="8" t="s">
        <v>630</v>
      </c>
      <c r="N5" s="8" t="s">
        <v>631</v>
      </c>
      <c r="O5" s="8" t="s">
        <v>625</v>
      </c>
      <c r="P5" s="8"/>
      <c r="Q5" s="8"/>
      <c r="R5" s="8"/>
    </row>
    <row r="6" ht="17.6" spans="1:18">
      <c r="A6" s="9">
        <v>46023</v>
      </c>
      <c r="B6" s="7" t="s">
        <v>581</v>
      </c>
      <c r="C6" s="10">
        <v>499</v>
      </c>
      <c r="D6"/>
      <c r="F6" s="11">
        <v>39</v>
      </c>
      <c r="G6" s="11">
        <v>8</v>
      </c>
      <c r="H6" s="11">
        <v>9</v>
      </c>
      <c r="I6" s="11">
        <v>11291</v>
      </c>
      <c r="J6" s="11">
        <v>2</v>
      </c>
      <c r="K6" s="11">
        <v>3</v>
      </c>
      <c r="L6" s="11">
        <v>10997</v>
      </c>
      <c r="M6" s="11">
        <v>1</v>
      </c>
      <c r="N6" s="11">
        <v>1</v>
      </c>
      <c r="O6" s="11">
        <v>399</v>
      </c>
      <c r="P6" s="11">
        <v>10</v>
      </c>
      <c r="Q6" s="11">
        <v>13</v>
      </c>
      <c r="R6" s="11">
        <v>22687</v>
      </c>
    </row>
    <row r="7" ht="17.6" spans="1:18">
      <c r="A7" s="9">
        <v>46023</v>
      </c>
      <c r="B7" s="7" t="s">
        <v>584</v>
      </c>
      <c r="C7" s="10">
        <v>548</v>
      </c>
      <c r="D7"/>
      <c r="F7" s="11">
        <v>13</v>
      </c>
      <c r="G7" s="11">
        <v>9</v>
      </c>
      <c r="H7" s="11">
        <v>10</v>
      </c>
      <c r="I7" s="11">
        <v>10390</v>
      </c>
      <c r="J7" s="11">
        <v>1</v>
      </c>
      <c r="K7" s="11">
        <v>1</v>
      </c>
      <c r="L7" s="11">
        <v>4999</v>
      </c>
      <c r="M7" s="11">
        <v>1</v>
      </c>
      <c r="N7" s="11">
        <v>1</v>
      </c>
      <c r="O7" s="11">
        <v>2999</v>
      </c>
      <c r="P7" s="11">
        <v>11</v>
      </c>
      <c r="Q7" s="11">
        <v>12</v>
      </c>
      <c r="R7" s="11">
        <v>18388</v>
      </c>
    </row>
    <row r="8" ht="17.6" spans="1:18">
      <c r="A8" s="9">
        <v>46023</v>
      </c>
      <c r="B8" s="7" t="s">
        <v>587</v>
      </c>
      <c r="C8" s="10">
        <v>299</v>
      </c>
      <c r="D8"/>
      <c r="F8" s="11">
        <v>7</v>
      </c>
      <c r="G8" s="11">
        <v>10</v>
      </c>
      <c r="H8" s="11">
        <v>12</v>
      </c>
      <c r="I8" s="11">
        <v>11638</v>
      </c>
      <c r="J8" s="11">
        <v>1</v>
      </c>
      <c r="K8" s="11">
        <v>1</v>
      </c>
      <c r="L8" s="11">
        <v>1999</v>
      </c>
      <c r="M8" s="11">
        <v>2</v>
      </c>
      <c r="N8" s="11">
        <v>3</v>
      </c>
      <c r="O8" s="11">
        <v>2297</v>
      </c>
      <c r="P8" s="11">
        <v>11</v>
      </c>
      <c r="Q8" s="11">
        <v>16</v>
      </c>
      <c r="R8" s="11">
        <v>15934</v>
      </c>
    </row>
    <row r="9" ht="17.6" spans="1:18">
      <c r="A9" s="9">
        <v>46023</v>
      </c>
      <c r="B9" s="7" t="s">
        <v>588</v>
      </c>
      <c r="C9" s="10">
        <v>499</v>
      </c>
      <c r="D9"/>
      <c r="F9" s="11">
        <v>25</v>
      </c>
      <c r="G9" s="11">
        <v>11</v>
      </c>
      <c r="H9" s="11">
        <v>16</v>
      </c>
      <c r="I9" s="11">
        <v>12534</v>
      </c>
      <c r="J9" s="11">
        <v>1</v>
      </c>
      <c r="K9" s="11">
        <v>1</v>
      </c>
      <c r="L9" s="11">
        <v>2999</v>
      </c>
      <c r="M9" s="11"/>
      <c r="N9" s="11"/>
      <c r="O9" s="11"/>
      <c r="P9" s="11">
        <v>11</v>
      </c>
      <c r="Q9" s="11">
        <v>17</v>
      </c>
      <c r="R9" s="11">
        <v>15533</v>
      </c>
    </row>
    <row r="10" ht="17.6" spans="1:18">
      <c r="A10" s="9">
        <v>46023</v>
      </c>
      <c r="B10" s="7" t="s">
        <v>591</v>
      </c>
      <c r="C10" s="10">
        <v>1499</v>
      </c>
      <c r="D10"/>
      <c r="F10" s="11">
        <v>27</v>
      </c>
      <c r="G10" s="11">
        <v>10</v>
      </c>
      <c r="H10" s="11">
        <v>12</v>
      </c>
      <c r="I10" s="11">
        <v>8038</v>
      </c>
      <c r="J10" s="11">
        <v>2</v>
      </c>
      <c r="K10" s="11">
        <v>3</v>
      </c>
      <c r="L10" s="11">
        <v>4047</v>
      </c>
      <c r="M10" s="11">
        <v>1</v>
      </c>
      <c r="N10" s="11">
        <v>1</v>
      </c>
      <c r="O10" s="11">
        <v>1499</v>
      </c>
      <c r="P10" s="11">
        <v>13</v>
      </c>
      <c r="Q10" s="11">
        <v>16</v>
      </c>
      <c r="R10" s="11">
        <v>13584</v>
      </c>
    </row>
    <row r="11" ht="17.6" spans="1:18">
      <c r="A11" s="9">
        <v>46023</v>
      </c>
      <c r="B11" s="7" t="s">
        <v>595</v>
      </c>
      <c r="C11" s="10">
        <v>5298</v>
      </c>
      <c r="D11"/>
      <c r="F11" s="11">
        <v>10</v>
      </c>
      <c r="G11" s="11">
        <v>9</v>
      </c>
      <c r="H11" s="11">
        <v>11</v>
      </c>
      <c r="I11" s="11">
        <v>7639</v>
      </c>
      <c r="J11" s="11">
        <v>2</v>
      </c>
      <c r="K11" s="11">
        <v>2</v>
      </c>
      <c r="L11" s="11">
        <v>5048</v>
      </c>
      <c r="M11" s="11">
        <v>1</v>
      </c>
      <c r="N11" s="11">
        <v>1</v>
      </c>
      <c r="O11" s="11">
        <v>399</v>
      </c>
      <c r="P11" s="11">
        <v>12</v>
      </c>
      <c r="Q11" s="11">
        <v>14</v>
      </c>
      <c r="R11" s="11">
        <v>13086</v>
      </c>
    </row>
    <row r="12" ht="17.6" spans="1:18">
      <c r="A12" s="9">
        <v>46023</v>
      </c>
      <c r="B12" s="7" t="s">
        <v>596</v>
      </c>
      <c r="C12" s="10">
        <v>799</v>
      </c>
      <c r="D12"/>
      <c r="F12" s="11">
        <v>29</v>
      </c>
      <c r="G12" s="11">
        <v>12</v>
      </c>
      <c r="H12" s="11">
        <v>14</v>
      </c>
      <c r="I12" s="11">
        <v>5686</v>
      </c>
      <c r="J12" s="11">
        <v>2</v>
      </c>
      <c r="K12" s="11">
        <v>3</v>
      </c>
      <c r="L12" s="11">
        <v>3897</v>
      </c>
      <c r="M12" s="11">
        <v>2</v>
      </c>
      <c r="N12" s="11">
        <v>2</v>
      </c>
      <c r="O12" s="11">
        <v>3498</v>
      </c>
      <c r="P12" s="11">
        <v>13</v>
      </c>
      <c r="Q12" s="11">
        <v>19</v>
      </c>
      <c r="R12" s="11">
        <v>13081</v>
      </c>
    </row>
    <row r="13" ht="17.6" spans="1:18">
      <c r="A13" s="9">
        <v>46023</v>
      </c>
      <c r="B13" s="7" t="s">
        <v>601</v>
      </c>
      <c r="C13" s="10">
        <v>149</v>
      </c>
      <c r="D13"/>
      <c r="F13" s="11">
        <v>17</v>
      </c>
      <c r="G13" s="11">
        <v>9</v>
      </c>
      <c r="H13" s="11">
        <v>12</v>
      </c>
      <c r="I13" s="11">
        <v>12738</v>
      </c>
      <c r="J13" s="11"/>
      <c r="K13" s="11"/>
      <c r="L13" s="11"/>
      <c r="M13" s="11">
        <v>1</v>
      </c>
      <c r="N13" s="11">
        <v>1</v>
      </c>
      <c r="O13" s="11">
        <v>299</v>
      </c>
      <c r="P13" s="11">
        <v>10</v>
      </c>
      <c r="Q13" s="11">
        <v>13</v>
      </c>
      <c r="R13" s="11">
        <v>13037</v>
      </c>
    </row>
    <row r="14" ht="17.6" spans="1:18">
      <c r="A14" s="9">
        <v>46023</v>
      </c>
      <c r="B14" s="7" t="s">
        <v>609</v>
      </c>
      <c r="C14" s="10">
        <v>798</v>
      </c>
      <c r="D14"/>
      <c r="F14" s="11">
        <v>37</v>
      </c>
      <c r="G14" s="11">
        <v>15</v>
      </c>
      <c r="H14" s="11">
        <v>17</v>
      </c>
      <c r="I14" s="11">
        <v>10833</v>
      </c>
      <c r="J14" s="11">
        <v>1</v>
      </c>
      <c r="K14" s="11">
        <v>1</v>
      </c>
      <c r="L14" s="11">
        <v>1999</v>
      </c>
      <c r="M14" s="11">
        <v>1</v>
      </c>
      <c r="N14" s="11">
        <v>1</v>
      </c>
      <c r="O14" s="11">
        <v>99</v>
      </c>
      <c r="P14" s="11">
        <v>16</v>
      </c>
      <c r="Q14" s="11">
        <v>19</v>
      </c>
      <c r="R14" s="11">
        <v>12931</v>
      </c>
    </row>
    <row r="15" ht="17.6" spans="1:18">
      <c r="A15" s="9">
        <v>46023</v>
      </c>
      <c r="B15" s="7" t="s">
        <v>610</v>
      </c>
      <c r="C15" s="10">
        <v>149</v>
      </c>
      <c r="D15"/>
      <c r="F15" s="11">
        <v>19</v>
      </c>
      <c r="G15" s="11">
        <v>10</v>
      </c>
      <c r="H15" s="11">
        <v>11</v>
      </c>
      <c r="I15" s="11">
        <v>7239</v>
      </c>
      <c r="J15" s="11">
        <v>1</v>
      </c>
      <c r="K15" s="11">
        <v>1</v>
      </c>
      <c r="L15" s="11">
        <v>4999</v>
      </c>
      <c r="M15" s="11">
        <v>2</v>
      </c>
      <c r="N15" s="11">
        <v>2</v>
      </c>
      <c r="O15" s="11">
        <v>598</v>
      </c>
      <c r="P15" s="11">
        <v>12</v>
      </c>
      <c r="Q15" s="11">
        <v>14</v>
      </c>
      <c r="R15" s="11">
        <v>12836</v>
      </c>
    </row>
    <row r="16" ht="17.6" spans="1:18">
      <c r="A16" s="9">
        <v>46023</v>
      </c>
      <c r="B16" s="7" t="s">
        <v>612</v>
      </c>
      <c r="C16" s="10">
        <v>598</v>
      </c>
      <c r="D16"/>
      <c r="F16" s="11">
        <v>36</v>
      </c>
      <c r="G16" s="11">
        <v>11</v>
      </c>
      <c r="H16" s="11">
        <v>15</v>
      </c>
      <c r="I16" s="11">
        <v>11535</v>
      </c>
      <c r="J16" s="11">
        <v>1</v>
      </c>
      <c r="K16" s="11">
        <v>1</v>
      </c>
      <c r="L16" s="11">
        <v>999</v>
      </c>
      <c r="M16" s="11"/>
      <c r="N16" s="11"/>
      <c r="O16" s="11"/>
      <c r="P16" s="11">
        <v>12</v>
      </c>
      <c r="Q16" s="11">
        <v>16</v>
      </c>
      <c r="R16" s="11">
        <v>12534</v>
      </c>
    </row>
    <row r="17" ht="17.6" spans="1:18">
      <c r="A17" s="9">
        <v>46023</v>
      </c>
      <c r="B17" s="7" t="s">
        <v>615</v>
      </c>
      <c r="C17" s="10">
        <v>299</v>
      </c>
      <c r="D17"/>
      <c r="F17" s="11">
        <v>22</v>
      </c>
      <c r="G17" s="11">
        <v>11</v>
      </c>
      <c r="H17" s="11">
        <v>14</v>
      </c>
      <c r="I17" s="11">
        <v>11336</v>
      </c>
      <c r="J17" s="11"/>
      <c r="K17" s="11"/>
      <c r="L17" s="11"/>
      <c r="M17" s="11">
        <v>2</v>
      </c>
      <c r="N17" s="11">
        <v>2</v>
      </c>
      <c r="O17" s="11">
        <v>1198</v>
      </c>
      <c r="P17" s="11">
        <v>11</v>
      </c>
      <c r="Q17" s="11">
        <v>16</v>
      </c>
      <c r="R17" s="11">
        <v>12534</v>
      </c>
    </row>
    <row r="18" ht="17.6" spans="1:18">
      <c r="A18" s="7" t="s">
        <v>632</v>
      </c>
      <c r="B18" s="7"/>
      <c r="C18" s="10">
        <v>11982</v>
      </c>
      <c r="D18"/>
      <c r="F18" s="11">
        <v>16</v>
      </c>
      <c r="G18" s="11">
        <v>13</v>
      </c>
      <c r="H18" s="11">
        <v>17</v>
      </c>
      <c r="I18" s="11">
        <v>10183</v>
      </c>
      <c r="J18" s="11"/>
      <c r="K18" s="11"/>
      <c r="L18" s="11"/>
      <c r="M18" s="11">
        <v>3</v>
      </c>
      <c r="N18" s="11">
        <v>3</v>
      </c>
      <c r="O18" s="11">
        <v>947</v>
      </c>
      <c r="P18" s="11">
        <v>15</v>
      </c>
      <c r="Q18" s="11">
        <v>20</v>
      </c>
      <c r="R18" s="11">
        <v>11130</v>
      </c>
    </row>
    <row r="19" ht="17.6" spans="1:18">
      <c r="A19" s="9">
        <v>46024</v>
      </c>
      <c r="B19" s="7" t="s">
        <v>573</v>
      </c>
      <c r="C19" s="10">
        <v>149</v>
      </c>
      <c r="D19"/>
      <c r="F19" s="11">
        <v>11</v>
      </c>
      <c r="G19" s="11">
        <v>7</v>
      </c>
      <c r="H19" s="11">
        <v>8</v>
      </c>
      <c r="I19" s="11">
        <v>9292</v>
      </c>
      <c r="J19" s="11">
        <v>1</v>
      </c>
      <c r="K19" s="11">
        <v>1</v>
      </c>
      <c r="L19" s="11">
        <v>149</v>
      </c>
      <c r="M19" s="11">
        <v>1</v>
      </c>
      <c r="N19" s="11">
        <v>1</v>
      </c>
      <c r="O19" s="11">
        <v>1499</v>
      </c>
      <c r="P19" s="11">
        <v>9</v>
      </c>
      <c r="Q19" s="11">
        <v>10</v>
      </c>
      <c r="R19" s="11">
        <v>10940</v>
      </c>
    </row>
    <row r="20" ht="17.6" spans="1:18">
      <c r="A20" s="9">
        <v>46024</v>
      </c>
      <c r="B20" s="7" t="s">
        <v>578</v>
      </c>
      <c r="C20" s="10">
        <v>3797</v>
      </c>
      <c r="D20"/>
      <c r="F20" s="11">
        <v>1</v>
      </c>
      <c r="G20" s="11">
        <v>6</v>
      </c>
      <c r="H20" s="11">
        <v>8</v>
      </c>
      <c r="I20" s="11">
        <v>10142</v>
      </c>
      <c r="J20" s="11"/>
      <c r="K20" s="11"/>
      <c r="L20" s="11"/>
      <c r="M20" s="11">
        <v>1</v>
      </c>
      <c r="N20" s="11">
        <v>1</v>
      </c>
      <c r="O20" s="11">
        <v>299</v>
      </c>
      <c r="P20" s="11">
        <v>7</v>
      </c>
      <c r="Q20" s="11">
        <v>9</v>
      </c>
      <c r="R20" s="11">
        <v>10441</v>
      </c>
    </row>
    <row r="21" ht="17.6" spans="1:18">
      <c r="A21" s="9">
        <v>46024</v>
      </c>
      <c r="B21" s="7" t="s">
        <v>579</v>
      </c>
      <c r="C21" s="10">
        <v>299</v>
      </c>
      <c r="D21"/>
      <c r="F21" s="11">
        <v>12</v>
      </c>
      <c r="G21" s="11">
        <v>9</v>
      </c>
      <c r="H21" s="11">
        <v>11</v>
      </c>
      <c r="I21" s="11">
        <v>9389</v>
      </c>
      <c r="J21" s="11"/>
      <c r="K21" s="11"/>
      <c r="L21" s="11"/>
      <c r="M21" s="11">
        <v>2</v>
      </c>
      <c r="N21" s="11">
        <v>2</v>
      </c>
      <c r="O21" s="11">
        <v>998</v>
      </c>
      <c r="P21" s="11">
        <v>9</v>
      </c>
      <c r="Q21" s="11">
        <v>13</v>
      </c>
      <c r="R21" s="11">
        <v>10387</v>
      </c>
    </row>
    <row r="22" ht="17.6" spans="1:18">
      <c r="A22" s="9">
        <v>46024</v>
      </c>
      <c r="B22" s="7" t="s">
        <v>587</v>
      </c>
      <c r="C22" s="10">
        <v>1499</v>
      </c>
      <c r="D22"/>
      <c r="F22" s="11">
        <v>33</v>
      </c>
      <c r="G22" s="11">
        <v>9</v>
      </c>
      <c r="H22" s="11">
        <v>10</v>
      </c>
      <c r="I22" s="11">
        <v>10190</v>
      </c>
      <c r="J22" s="11"/>
      <c r="K22" s="11"/>
      <c r="L22" s="11"/>
      <c r="M22" s="11">
        <v>1</v>
      </c>
      <c r="N22" s="11">
        <v>1</v>
      </c>
      <c r="O22" s="11">
        <v>149</v>
      </c>
      <c r="P22" s="11">
        <v>10</v>
      </c>
      <c r="Q22" s="11">
        <v>11</v>
      </c>
      <c r="R22" s="11">
        <v>10339</v>
      </c>
    </row>
    <row r="23" ht="17.6" spans="1:18">
      <c r="A23" s="9">
        <v>46024</v>
      </c>
      <c r="B23" s="7" t="s">
        <v>589</v>
      </c>
      <c r="C23" s="10">
        <v>499</v>
      </c>
      <c r="D23"/>
      <c r="F23" s="11">
        <v>34</v>
      </c>
      <c r="G23" s="11">
        <v>11</v>
      </c>
      <c r="H23" s="11">
        <v>15</v>
      </c>
      <c r="I23" s="11">
        <v>9635</v>
      </c>
      <c r="J23" s="11"/>
      <c r="K23" s="11"/>
      <c r="L23" s="11"/>
      <c r="M23" s="11">
        <v>1</v>
      </c>
      <c r="N23" s="11">
        <v>1</v>
      </c>
      <c r="O23" s="11">
        <v>399</v>
      </c>
      <c r="P23" s="11">
        <v>12</v>
      </c>
      <c r="Q23" s="11">
        <v>16</v>
      </c>
      <c r="R23" s="11">
        <v>10034</v>
      </c>
    </row>
    <row r="24" ht="17.6" spans="1:18">
      <c r="A24" s="9">
        <v>46024</v>
      </c>
      <c r="B24" s="7" t="s">
        <v>591</v>
      </c>
      <c r="C24" s="10">
        <v>299</v>
      </c>
      <c r="D24"/>
      <c r="F24" s="11">
        <v>28</v>
      </c>
      <c r="G24" s="11">
        <v>7</v>
      </c>
      <c r="H24" s="11">
        <v>7</v>
      </c>
      <c r="I24" s="11">
        <v>4493</v>
      </c>
      <c r="J24" s="11">
        <v>1</v>
      </c>
      <c r="K24" s="11">
        <v>1</v>
      </c>
      <c r="L24" s="11">
        <v>1999</v>
      </c>
      <c r="M24" s="11">
        <v>2</v>
      </c>
      <c r="N24" s="11">
        <v>2</v>
      </c>
      <c r="O24" s="11">
        <v>3048</v>
      </c>
      <c r="P24" s="11">
        <v>10</v>
      </c>
      <c r="Q24" s="11">
        <v>10</v>
      </c>
      <c r="R24" s="11">
        <v>9540</v>
      </c>
    </row>
    <row r="25" ht="17.6" spans="1:18">
      <c r="A25" s="9">
        <v>46024</v>
      </c>
      <c r="B25" s="7" t="s">
        <v>593</v>
      </c>
      <c r="C25" s="10">
        <v>149</v>
      </c>
      <c r="D25"/>
      <c r="E25"/>
      <c r="F25" s="11">
        <v>35</v>
      </c>
      <c r="G25" s="11">
        <v>11</v>
      </c>
      <c r="H25" s="11">
        <v>12</v>
      </c>
      <c r="I25" s="11">
        <v>8688</v>
      </c>
      <c r="J25" s="11"/>
      <c r="K25" s="11"/>
      <c r="L25" s="11"/>
      <c r="M25" s="11">
        <v>2</v>
      </c>
      <c r="N25" s="11">
        <v>2</v>
      </c>
      <c r="O25" s="11">
        <v>598</v>
      </c>
      <c r="P25" s="11">
        <v>11</v>
      </c>
      <c r="Q25" s="11">
        <v>14</v>
      </c>
      <c r="R25" s="11">
        <v>9286</v>
      </c>
    </row>
    <row r="26" ht="17.6" spans="1:18">
      <c r="A26" s="9">
        <v>46024</v>
      </c>
      <c r="B26" s="7" t="s">
        <v>594</v>
      </c>
      <c r="C26" s="10">
        <v>49</v>
      </c>
      <c r="D26"/>
      <c r="F26" s="11">
        <v>21</v>
      </c>
      <c r="G26" s="11">
        <v>13</v>
      </c>
      <c r="H26" s="11">
        <v>13</v>
      </c>
      <c r="I26" s="11">
        <v>3887</v>
      </c>
      <c r="J26" s="11"/>
      <c r="K26" s="11"/>
      <c r="L26" s="11"/>
      <c r="M26" s="11">
        <v>1</v>
      </c>
      <c r="N26" s="11">
        <v>1</v>
      </c>
      <c r="O26" s="11">
        <v>4999</v>
      </c>
      <c r="P26" s="11">
        <v>13</v>
      </c>
      <c r="Q26" s="11">
        <v>14</v>
      </c>
      <c r="R26" s="11">
        <v>8886</v>
      </c>
    </row>
    <row r="27" ht="17.6" spans="1:18">
      <c r="A27" s="9">
        <v>46024</v>
      </c>
      <c r="B27" s="7" t="s">
        <v>599</v>
      </c>
      <c r="C27" s="10">
        <v>99</v>
      </c>
      <c r="D27"/>
      <c r="F27" s="11">
        <v>40</v>
      </c>
      <c r="G27" s="11">
        <v>10</v>
      </c>
      <c r="H27" s="11">
        <v>11</v>
      </c>
      <c r="I27" s="11">
        <v>3039</v>
      </c>
      <c r="J27" s="11">
        <v>2</v>
      </c>
      <c r="K27" s="11">
        <v>2</v>
      </c>
      <c r="L27" s="11">
        <v>5148</v>
      </c>
      <c r="M27" s="11">
        <v>2</v>
      </c>
      <c r="N27" s="11">
        <v>2</v>
      </c>
      <c r="O27" s="11">
        <v>548</v>
      </c>
      <c r="P27" s="11">
        <v>13</v>
      </c>
      <c r="Q27" s="11">
        <v>15</v>
      </c>
      <c r="R27" s="11">
        <v>8735</v>
      </c>
    </row>
    <row r="28" ht="17.6" spans="1:18">
      <c r="A28" s="9">
        <v>46024</v>
      </c>
      <c r="B28" s="7" t="s">
        <v>600</v>
      </c>
      <c r="C28" s="10">
        <v>399</v>
      </c>
      <c r="D28"/>
      <c r="F28" s="11">
        <v>3</v>
      </c>
      <c r="G28" s="11">
        <v>13</v>
      </c>
      <c r="H28" s="11">
        <v>16</v>
      </c>
      <c r="I28" s="11">
        <v>8084</v>
      </c>
      <c r="J28" s="11">
        <v>1</v>
      </c>
      <c r="K28" s="11">
        <v>1</v>
      </c>
      <c r="L28" s="11">
        <v>149</v>
      </c>
      <c r="M28" s="11"/>
      <c r="N28" s="11"/>
      <c r="O28" s="11"/>
      <c r="P28" s="11">
        <v>13</v>
      </c>
      <c r="Q28" s="11">
        <v>17</v>
      </c>
      <c r="R28" s="11">
        <v>8233</v>
      </c>
    </row>
    <row r="29" ht="17.6" spans="1:18">
      <c r="A29" s="9">
        <v>46024</v>
      </c>
      <c r="B29" s="7" t="s">
        <v>608</v>
      </c>
      <c r="C29" s="10">
        <v>548</v>
      </c>
      <c r="D29"/>
      <c r="F29" s="11">
        <v>32</v>
      </c>
      <c r="G29" s="11">
        <v>9</v>
      </c>
      <c r="H29" s="11">
        <v>11</v>
      </c>
      <c r="I29" s="11">
        <v>2589</v>
      </c>
      <c r="J29" s="11">
        <v>1</v>
      </c>
      <c r="K29" s="11">
        <v>1</v>
      </c>
      <c r="L29" s="11">
        <v>1999</v>
      </c>
      <c r="M29" s="11">
        <v>2</v>
      </c>
      <c r="N29" s="11">
        <v>2</v>
      </c>
      <c r="O29" s="11">
        <v>3498</v>
      </c>
      <c r="P29" s="11">
        <v>12</v>
      </c>
      <c r="Q29" s="11">
        <v>14</v>
      </c>
      <c r="R29" s="11">
        <v>8086</v>
      </c>
    </row>
    <row r="30" ht="17.6" spans="1:18">
      <c r="A30" s="9">
        <v>46024</v>
      </c>
      <c r="B30" s="7" t="s">
        <v>609</v>
      </c>
      <c r="C30" s="10">
        <v>1847</v>
      </c>
      <c r="D30"/>
      <c r="F30" s="11">
        <v>30</v>
      </c>
      <c r="G30" s="11">
        <v>12</v>
      </c>
      <c r="H30" s="11">
        <v>16</v>
      </c>
      <c r="I30" s="11">
        <v>7384</v>
      </c>
      <c r="J30" s="11"/>
      <c r="K30" s="11"/>
      <c r="L30" s="11"/>
      <c r="M30" s="11">
        <v>1</v>
      </c>
      <c r="N30" s="11">
        <v>1</v>
      </c>
      <c r="O30" s="11">
        <v>499</v>
      </c>
      <c r="P30" s="11">
        <v>13</v>
      </c>
      <c r="Q30" s="11">
        <v>17</v>
      </c>
      <c r="R30" s="11">
        <v>7883</v>
      </c>
    </row>
    <row r="31" ht="17.6" spans="1:18">
      <c r="A31" s="9">
        <v>46024</v>
      </c>
      <c r="B31" s="7" t="s">
        <v>610</v>
      </c>
      <c r="C31" s="10">
        <v>299</v>
      </c>
      <c r="D31"/>
      <c r="F31" s="11">
        <v>15</v>
      </c>
      <c r="G31" s="11">
        <v>9</v>
      </c>
      <c r="H31" s="11">
        <v>11</v>
      </c>
      <c r="I31" s="11">
        <v>7439</v>
      </c>
      <c r="J31" s="11"/>
      <c r="K31" s="11"/>
      <c r="L31" s="11"/>
      <c r="M31" s="11">
        <v>1</v>
      </c>
      <c r="N31" s="11">
        <v>1</v>
      </c>
      <c r="O31" s="11">
        <v>399</v>
      </c>
      <c r="P31" s="11">
        <v>10</v>
      </c>
      <c r="Q31" s="11">
        <v>12</v>
      </c>
      <c r="R31" s="11">
        <v>7838</v>
      </c>
    </row>
    <row r="32" ht="17.6" spans="1:18">
      <c r="A32" s="9">
        <v>46024</v>
      </c>
      <c r="B32" s="7" t="s">
        <v>612</v>
      </c>
      <c r="C32" s="10">
        <v>2999</v>
      </c>
      <c r="D32"/>
      <c r="F32" s="11">
        <v>6</v>
      </c>
      <c r="G32" s="11">
        <v>12</v>
      </c>
      <c r="H32" s="11">
        <v>13</v>
      </c>
      <c r="I32" s="11">
        <v>6637</v>
      </c>
      <c r="J32" s="11">
        <v>1</v>
      </c>
      <c r="K32" s="11">
        <v>1</v>
      </c>
      <c r="L32" s="11">
        <v>799</v>
      </c>
      <c r="M32" s="11"/>
      <c r="N32" s="11"/>
      <c r="O32" s="11"/>
      <c r="P32" s="11">
        <v>12</v>
      </c>
      <c r="Q32" s="11">
        <v>14</v>
      </c>
      <c r="R32" s="11">
        <v>7436</v>
      </c>
    </row>
    <row r="33" ht="17.6" spans="1:18">
      <c r="A33" s="9">
        <v>46024</v>
      </c>
      <c r="B33" s="7" t="s">
        <v>614</v>
      </c>
      <c r="C33" s="10">
        <v>499</v>
      </c>
      <c r="D33"/>
      <c r="F33" s="11">
        <v>8</v>
      </c>
      <c r="G33" s="11">
        <v>11</v>
      </c>
      <c r="H33" s="11">
        <v>14</v>
      </c>
      <c r="I33" s="11">
        <v>7086</v>
      </c>
      <c r="J33" s="11">
        <v>1</v>
      </c>
      <c r="K33" s="11">
        <v>1</v>
      </c>
      <c r="L33" s="11">
        <v>49</v>
      </c>
      <c r="M33" s="11">
        <v>1</v>
      </c>
      <c r="N33" s="11">
        <v>1</v>
      </c>
      <c r="O33" s="11">
        <v>299</v>
      </c>
      <c r="P33" s="11">
        <v>13</v>
      </c>
      <c r="Q33" s="11">
        <v>16</v>
      </c>
      <c r="R33" s="11">
        <v>7434</v>
      </c>
    </row>
    <row r="34" ht="17.6" spans="1:18">
      <c r="A34" s="7" t="s">
        <v>633</v>
      </c>
      <c r="B34" s="7"/>
      <c r="C34" s="10">
        <v>13430</v>
      </c>
      <c r="D34"/>
      <c r="F34" s="11">
        <v>18</v>
      </c>
      <c r="G34" s="11">
        <v>9</v>
      </c>
      <c r="H34" s="11">
        <v>11</v>
      </c>
      <c r="I34" s="11">
        <v>7089</v>
      </c>
      <c r="J34" s="11"/>
      <c r="K34" s="11"/>
      <c r="L34" s="11"/>
      <c r="M34" s="11"/>
      <c r="N34" s="11"/>
      <c r="O34" s="11"/>
      <c r="P34" s="11">
        <v>9</v>
      </c>
      <c r="Q34" s="11">
        <v>11</v>
      </c>
      <c r="R34" s="11">
        <v>7089</v>
      </c>
    </row>
    <row r="35" ht="17.6" spans="1:18">
      <c r="A35" s="9">
        <v>46025</v>
      </c>
      <c r="B35" s="7" t="s">
        <v>571</v>
      </c>
      <c r="C35" s="10">
        <v>198</v>
      </c>
      <c r="D35"/>
      <c r="F35" s="11">
        <v>4</v>
      </c>
      <c r="G35" s="11">
        <v>7</v>
      </c>
      <c r="H35" s="11">
        <v>9</v>
      </c>
      <c r="I35" s="11">
        <v>6941</v>
      </c>
      <c r="J35" s="11"/>
      <c r="K35" s="11"/>
      <c r="L35" s="11"/>
      <c r="M35" s="11"/>
      <c r="N35" s="11"/>
      <c r="O35" s="11"/>
      <c r="P35" s="11">
        <v>7</v>
      </c>
      <c r="Q35" s="11">
        <v>9</v>
      </c>
      <c r="R35" s="11">
        <v>6941</v>
      </c>
    </row>
    <row r="36" ht="17.6" spans="1:18">
      <c r="A36" s="9">
        <v>46025</v>
      </c>
      <c r="B36" s="7" t="s">
        <v>574</v>
      </c>
      <c r="C36" s="10">
        <v>499</v>
      </c>
      <c r="D36"/>
      <c r="F36" s="11">
        <v>14</v>
      </c>
      <c r="G36" s="11">
        <v>10</v>
      </c>
      <c r="H36" s="11">
        <v>11</v>
      </c>
      <c r="I36" s="11">
        <v>6189</v>
      </c>
      <c r="J36" s="11"/>
      <c r="K36" s="11"/>
      <c r="L36" s="11"/>
      <c r="M36" s="11">
        <v>1</v>
      </c>
      <c r="N36" s="11">
        <v>1</v>
      </c>
      <c r="O36" s="11">
        <v>299</v>
      </c>
      <c r="P36" s="11">
        <v>11</v>
      </c>
      <c r="Q36" s="11">
        <v>12</v>
      </c>
      <c r="R36" s="11">
        <v>6488</v>
      </c>
    </row>
    <row r="37" ht="17.6" spans="1:18">
      <c r="A37" s="9">
        <v>46025</v>
      </c>
      <c r="B37" s="7" t="s">
        <v>576</v>
      </c>
      <c r="C37" s="10">
        <v>799</v>
      </c>
      <c r="D37"/>
      <c r="F37" s="11">
        <v>5</v>
      </c>
      <c r="G37" s="11">
        <v>8</v>
      </c>
      <c r="H37" s="11">
        <v>10</v>
      </c>
      <c r="I37" s="11">
        <v>5340</v>
      </c>
      <c r="J37" s="11"/>
      <c r="K37" s="11"/>
      <c r="L37" s="11"/>
      <c r="M37" s="11">
        <v>1</v>
      </c>
      <c r="N37" s="11">
        <v>1</v>
      </c>
      <c r="O37" s="11">
        <v>499</v>
      </c>
      <c r="P37" s="11">
        <v>9</v>
      </c>
      <c r="Q37" s="11">
        <v>11</v>
      </c>
      <c r="R37" s="11">
        <v>5839</v>
      </c>
    </row>
    <row r="38" ht="17.6" spans="1:18">
      <c r="A38" s="9">
        <v>46025</v>
      </c>
      <c r="B38" s="7" t="s">
        <v>578</v>
      </c>
      <c r="C38" s="10">
        <v>149</v>
      </c>
      <c r="D38"/>
      <c r="F38" s="11">
        <v>26</v>
      </c>
      <c r="G38" s="11">
        <v>8</v>
      </c>
      <c r="H38" s="11">
        <v>9</v>
      </c>
      <c r="I38" s="11">
        <v>2991</v>
      </c>
      <c r="J38" s="11"/>
      <c r="K38" s="11"/>
      <c r="L38" s="11"/>
      <c r="M38" s="11">
        <v>3</v>
      </c>
      <c r="N38" s="11">
        <v>3</v>
      </c>
      <c r="O38" s="11">
        <v>2197</v>
      </c>
      <c r="P38" s="11">
        <v>11</v>
      </c>
      <c r="Q38" s="11">
        <v>12</v>
      </c>
      <c r="R38" s="11">
        <v>5188</v>
      </c>
    </row>
    <row r="39" ht="17.6" spans="1:18">
      <c r="A39" s="9">
        <v>46025</v>
      </c>
      <c r="B39" s="7" t="s">
        <v>579</v>
      </c>
      <c r="C39" s="10">
        <v>299</v>
      </c>
      <c r="D39"/>
      <c r="F39" s="11">
        <v>9</v>
      </c>
      <c r="G39" s="11">
        <v>13</v>
      </c>
      <c r="H39" s="11">
        <v>15</v>
      </c>
      <c r="I39" s="11">
        <v>4485</v>
      </c>
      <c r="J39" s="11"/>
      <c r="K39" s="11"/>
      <c r="L39" s="11"/>
      <c r="M39" s="11">
        <v>3</v>
      </c>
      <c r="N39" s="11">
        <v>3</v>
      </c>
      <c r="O39" s="11">
        <v>497</v>
      </c>
      <c r="P39" s="11">
        <v>14</v>
      </c>
      <c r="Q39" s="11">
        <v>18</v>
      </c>
      <c r="R39" s="11">
        <v>4982</v>
      </c>
    </row>
    <row r="40" ht="17.6" spans="1:18">
      <c r="A40" s="9">
        <v>46025</v>
      </c>
      <c r="B40" s="7" t="s">
        <v>587</v>
      </c>
      <c r="C40" s="10">
        <v>149</v>
      </c>
      <c r="D40"/>
      <c r="F40" s="11">
        <v>31</v>
      </c>
      <c r="G40" s="11">
        <v>10</v>
      </c>
      <c r="H40" s="11">
        <v>10</v>
      </c>
      <c r="I40" s="11">
        <v>2640</v>
      </c>
      <c r="J40" s="11">
        <v>1</v>
      </c>
      <c r="K40" s="11">
        <v>1</v>
      </c>
      <c r="L40" s="11">
        <v>49</v>
      </c>
      <c r="M40" s="11">
        <v>3</v>
      </c>
      <c r="N40" s="11">
        <v>4</v>
      </c>
      <c r="O40" s="11">
        <v>2146</v>
      </c>
      <c r="P40" s="11">
        <v>14</v>
      </c>
      <c r="Q40" s="11">
        <v>15</v>
      </c>
      <c r="R40" s="11">
        <v>4835</v>
      </c>
    </row>
    <row r="41" ht="17.6" spans="1:18">
      <c r="A41" s="9">
        <v>46025</v>
      </c>
      <c r="B41" s="7" t="s">
        <v>589</v>
      </c>
      <c r="C41" s="10">
        <v>99</v>
      </c>
      <c r="D41"/>
      <c r="F41" s="11">
        <v>20</v>
      </c>
      <c r="G41" s="11">
        <v>7</v>
      </c>
      <c r="H41" s="11">
        <v>8</v>
      </c>
      <c r="I41" s="11">
        <v>4192</v>
      </c>
      <c r="J41" s="11"/>
      <c r="K41" s="11"/>
      <c r="L41" s="11"/>
      <c r="M41" s="11">
        <v>1</v>
      </c>
      <c r="N41" s="11">
        <v>1</v>
      </c>
      <c r="O41" s="11">
        <v>49</v>
      </c>
      <c r="P41" s="11">
        <v>8</v>
      </c>
      <c r="Q41" s="11">
        <v>9</v>
      </c>
      <c r="R41" s="11">
        <v>4241</v>
      </c>
    </row>
    <row r="42" ht="17.6" spans="1:18">
      <c r="A42" s="9">
        <v>46025</v>
      </c>
      <c r="B42" s="7" t="s">
        <v>591</v>
      </c>
      <c r="C42" s="10">
        <v>398</v>
      </c>
      <c r="D42"/>
      <c r="F42" s="11">
        <v>38</v>
      </c>
      <c r="G42" s="11">
        <v>7</v>
      </c>
      <c r="H42" s="11">
        <v>8</v>
      </c>
      <c r="I42" s="11">
        <v>3342</v>
      </c>
      <c r="J42" s="11"/>
      <c r="K42" s="11"/>
      <c r="L42" s="11"/>
      <c r="M42" s="11">
        <v>2</v>
      </c>
      <c r="N42" s="11">
        <v>2</v>
      </c>
      <c r="O42" s="11">
        <v>598</v>
      </c>
      <c r="P42" s="11">
        <v>8</v>
      </c>
      <c r="Q42" s="11">
        <v>10</v>
      </c>
      <c r="R42" s="11">
        <v>3940</v>
      </c>
    </row>
    <row r="43" ht="17.6" spans="1:18">
      <c r="A43" s="9">
        <v>46025</v>
      </c>
      <c r="B43" s="7" t="s">
        <v>594</v>
      </c>
      <c r="C43" s="10">
        <v>348</v>
      </c>
      <c r="D43"/>
      <c r="F43" s="11">
        <v>2</v>
      </c>
      <c r="G43" s="11">
        <v>9</v>
      </c>
      <c r="H43" s="11">
        <v>10</v>
      </c>
      <c r="I43" s="11">
        <v>3640</v>
      </c>
      <c r="J43" s="11"/>
      <c r="K43" s="11"/>
      <c r="L43" s="11"/>
      <c r="M43" s="11"/>
      <c r="N43" s="11"/>
      <c r="O43" s="11"/>
      <c r="P43" s="11">
        <v>9</v>
      </c>
      <c r="Q43" s="11">
        <v>10</v>
      </c>
      <c r="R43" s="11">
        <v>3640</v>
      </c>
    </row>
    <row r="44" ht="17.6" spans="1:18">
      <c r="A44" s="9">
        <v>46025</v>
      </c>
      <c r="B44" s="7" t="s">
        <v>598</v>
      </c>
      <c r="C44" s="10">
        <v>49</v>
      </c>
      <c r="D44"/>
      <c r="F44" s="11">
        <v>24</v>
      </c>
      <c r="G44" s="11">
        <v>10</v>
      </c>
      <c r="H44" s="11">
        <v>12</v>
      </c>
      <c r="I44" s="11">
        <v>3438</v>
      </c>
      <c r="J44" s="11">
        <v>1</v>
      </c>
      <c r="K44" s="11">
        <v>1</v>
      </c>
      <c r="L44" s="11">
        <v>149</v>
      </c>
      <c r="M44" s="11"/>
      <c r="N44" s="11"/>
      <c r="O44" s="11"/>
      <c r="P44" s="11">
        <v>11</v>
      </c>
      <c r="Q44" s="11">
        <v>13</v>
      </c>
      <c r="R44" s="11">
        <v>3587</v>
      </c>
    </row>
    <row r="45" ht="17.6" spans="1:18">
      <c r="A45" s="9">
        <v>46025</v>
      </c>
      <c r="B45" s="7" t="s">
        <v>600</v>
      </c>
      <c r="C45" s="10">
        <v>99</v>
      </c>
      <c r="D45"/>
      <c r="F45" s="11">
        <v>23</v>
      </c>
      <c r="G45" s="11">
        <v>7</v>
      </c>
      <c r="H45" s="11">
        <v>9</v>
      </c>
      <c r="I45" s="11">
        <v>1041</v>
      </c>
      <c r="J45" s="11">
        <v>1</v>
      </c>
      <c r="K45" s="11">
        <v>1</v>
      </c>
      <c r="L45" s="11">
        <v>1999</v>
      </c>
      <c r="M45" s="11"/>
      <c r="N45" s="11"/>
      <c r="O45" s="11"/>
      <c r="P45" s="11">
        <v>8</v>
      </c>
      <c r="Q45" s="11">
        <v>10</v>
      </c>
      <c r="R45" s="11">
        <v>3040</v>
      </c>
    </row>
    <row r="46" ht="17.6" spans="1:18">
      <c r="A46" s="9">
        <v>46025</v>
      </c>
      <c r="B46" s="7" t="s">
        <v>604</v>
      </c>
      <c r="C46" s="10">
        <v>149</v>
      </c>
      <c r="D46"/>
      <c r="F46" s="11" t="s">
        <v>634</v>
      </c>
      <c r="G46" s="11">
        <v>30</v>
      </c>
      <c r="H46" s="11">
        <v>468</v>
      </c>
      <c r="I46" s="11">
        <v>290382</v>
      </c>
      <c r="J46" s="11">
        <v>19</v>
      </c>
      <c r="K46" s="11">
        <v>28</v>
      </c>
      <c r="L46" s="11">
        <v>54472</v>
      </c>
      <c r="M46" s="11">
        <v>18</v>
      </c>
      <c r="N46" s="11">
        <v>51</v>
      </c>
      <c r="O46" s="11">
        <v>37749</v>
      </c>
      <c r="P46" s="11">
        <v>30</v>
      </c>
      <c r="Q46" s="11">
        <v>547</v>
      </c>
      <c r="R46" s="11">
        <v>382603</v>
      </c>
    </row>
    <row r="47" spans="1:18">
      <c r="A47" s="9">
        <v>46025</v>
      </c>
      <c r="B47" s="7" t="s">
        <v>606</v>
      </c>
      <c r="C47" s="10">
        <v>149</v>
      </c>
    </row>
    <row r="48" spans="1:18">
      <c r="A48" s="9">
        <v>46025</v>
      </c>
      <c r="B48" s="7" t="s">
        <v>607</v>
      </c>
      <c r="C48" s="10">
        <v>149</v>
      </c>
    </row>
    <row r="49" spans="1:3">
      <c r="A49" s="9">
        <v>46025</v>
      </c>
      <c r="B49" s="7" t="s">
        <v>610</v>
      </c>
      <c r="C49" s="10">
        <v>248</v>
      </c>
    </row>
    <row r="50" spans="1:3">
      <c r="A50" s="9">
        <v>46025</v>
      </c>
      <c r="B50" s="7" t="s">
        <v>612</v>
      </c>
      <c r="C50" s="10">
        <v>299</v>
      </c>
    </row>
    <row r="51" spans="1:3">
      <c r="A51" s="9">
        <v>46025</v>
      </c>
      <c r="B51" s="7" t="s">
        <v>615</v>
      </c>
      <c r="C51" s="10">
        <v>49</v>
      </c>
    </row>
    <row r="52" spans="1:3">
      <c r="A52" s="7" t="s">
        <v>635</v>
      </c>
      <c r="B52" s="7"/>
      <c r="C52" s="10">
        <v>4129</v>
      </c>
    </row>
    <row r="53" spans="1:3">
      <c r="A53" s="9">
        <v>46026</v>
      </c>
      <c r="B53" s="7" t="s">
        <v>581</v>
      </c>
      <c r="C53" s="10">
        <v>499</v>
      </c>
    </row>
    <row r="54" spans="1:3">
      <c r="A54" s="9">
        <v>46026</v>
      </c>
      <c r="B54" s="7" t="s">
        <v>583</v>
      </c>
      <c r="C54" s="10">
        <v>1499</v>
      </c>
    </row>
    <row r="55" spans="1:3">
      <c r="A55" s="9">
        <v>46026</v>
      </c>
      <c r="B55" s="7" t="s">
        <v>587</v>
      </c>
      <c r="C55" s="10">
        <v>99</v>
      </c>
    </row>
    <row r="56" spans="1:3">
      <c r="A56" s="9">
        <v>46026</v>
      </c>
      <c r="B56" s="7" t="s">
        <v>589</v>
      </c>
      <c r="C56" s="10">
        <v>49</v>
      </c>
    </row>
    <row r="57" spans="1:3">
      <c r="A57" s="9">
        <v>46026</v>
      </c>
      <c r="B57" s="7" t="s">
        <v>594</v>
      </c>
      <c r="C57" s="10">
        <v>2999</v>
      </c>
    </row>
    <row r="58" spans="1:3">
      <c r="A58" s="9">
        <v>46026</v>
      </c>
      <c r="B58" s="7" t="s">
        <v>598</v>
      </c>
      <c r="C58" s="10">
        <v>149</v>
      </c>
    </row>
    <row r="59" spans="1:3">
      <c r="A59" s="9">
        <v>46026</v>
      </c>
      <c r="B59" s="7" t="s">
        <v>601</v>
      </c>
      <c r="C59" s="10">
        <v>49</v>
      </c>
    </row>
    <row r="60" spans="1:3">
      <c r="A60" s="9">
        <v>46026</v>
      </c>
      <c r="B60" s="7" t="s">
        <v>603</v>
      </c>
      <c r="C60" s="10">
        <v>99</v>
      </c>
    </row>
    <row r="61" spans="1:3">
      <c r="A61" s="9">
        <v>46026</v>
      </c>
      <c r="B61" s="7" t="s">
        <v>606</v>
      </c>
      <c r="C61" s="10">
        <v>49</v>
      </c>
    </row>
    <row r="62" spans="1:3">
      <c r="A62" s="9">
        <v>46026</v>
      </c>
      <c r="B62" s="7" t="s">
        <v>607</v>
      </c>
      <c r="C62" s="10">
        <v>4999</v>
      </c>
    </row>
    <row r="63" spans="1:3">
      <c r="A63" s="9">
        <v>46026</v>
      </c>
      <c r="B63" s="7" t="s">
        <v>610</v>
      </c>
      <c r="C63" s="10">
        <v>149</v>
      </c>
    </row>
    <row r="64" spans="1:3">
      <c r="A64" s="9">
        <v>46026</v>
      </c>
      <c r="B64" s="7" t="s">
        <v>612</v>
      </c>
      <c r="C64" s="10">
        <v>49</v>
      </c>
    </row>
    <row r="65" spans="1:3">
      <c r="A65" s="7" t="s">
        <v>636</v>
      </c>
      <c r="B65" s="7"/>
      <c r="C65" s="10">
        <v>10688</v>
      </c>
    </row>
    <row r="66" spans="1:3">
      <c r="A66" s="9">
        <v>46027</v>
      </c>
      <c r="B66" s="7" t="s">
        <v>565</v>
      </c>
      <c r="C66" s="10">
        <v>1499</v>
      </c>
    </row>
    <row r="67" spans="1:3">
      <c r="A67" s="9">
        <v>46027</v>
      </c>
      <c r="B67" s="7" t="s">
        <v>571</v>
      </c>
      <c r="C67" s="10">
        <v>99</v>
      </c>
    </row>
    <row r="68" spans="1:3">
      <c r="A68" s="9">
        <v>46027</v>
      </c>
      <c r="B68" s="7" t="s">
        <v>576</v>
      </c>
      <c r="C68" s="10">
        <v>1499</v>
      </c>
    </row>
    <row r="69" spans="1:3">
      <c r="A69" s="9">
        <v>46027</v>
      </c>
      <c r="B69" s="7" t="s">
        <v>578</v>
      </c>
      <c r="C69" s="10">
        <v>4498</v>
      </c>
    </row>
    <row r="70" spans="1:3">
      <c r="A70" s="9">
        <v>46027</v>
      </c>
      <c r="B70" s="7" t="s">
        <v>581</v>
      </c>
      <c r="C70" s="10">
        <v>149</v>
      </c>
    </row>
    <row r="71" spans="1:3">
      <c r="A71" s="9">
        <v>46027</v>
      </c>
      <c r="B71" s="7" t="s">
        <v>582</v>
      </c>
      <c r="C71" s="10">
        <v>49</v>
      </c>
    </row>
    <row r="72" spans="1:3">
      <c r="A72" s="9">
        <v>46027</v>
      </c>
      <c r="B72" s="7" t="s">
        <v>587</v>
      </c>
      <c r="C72" s="10">
        <v>1499</v>
      </c>
    </row>
    <row r="73" spans="1:3">
      <c r="A73" s="9">
        <v>46027</v>
      </c>
      <c r="B73" s="7" t="s">
        <v>589</v>
      </c>
      <c r="C73" s="10">
        <v>149</v>
      </c>
    </row>
    <row r="74" spans="1:3">
      <c r="A74" s="9">
        <v>46027</v>
      </c>
      <c r="B74" s="7" t="s">
        <v>595</v>
      </c>
      <c r="C74" s="10">
        <v>499</v>
      </c>
    </row>
    <row r="75" spans="1:3">
      <c r="A75" s="9">
        <v>46027</v>
      </c>
      <c r="B75" s="7" t="s">
        <v>596</v>
      </c>
      <c r="C75" s="10">
        <v>448</v>
      </c>
    </row>
    <row r="76" spans="1:3">
      <c r="A76" s="9">
        <v>46027</v>
      </c>
      <c r="B76" s="7" t="s">
        <v>599</v>
      </c>
      <c r="C76" s="10">
        <v>4498</v>
      </c>
    </row>
    <row r="77" spans="1:3">
      <c r="A77" s="9">
        <v>46027</v>
      </c>
      <c r="B77" s="7" t="s">
        <v>603</v>
      </c>
      <c r="C77" s="10">
        <v>799</v>
      </c>
    </row>
    <row r="78" spans="1:3">
      <c r="A78" s="9">
        <v>46027</v>
      </c>
      <c r="B78" s="7" t="s">
        <v>605</v>
      </c>
      <c r="C78" s="10">
        <v>49</v>
      </c>
    </row>
    <row r="79" spans="1:3">
      <c r="A79" s="9">
        <v>46027</v>
      </c>
      <c r="B79" s="7" t="s">
        <v>608</v>
      </c>
      <c r="C79" s="10">
        <v>2999</v>
      </c>
    </row>
    <row r="80" spans="1:3">
      <c r="A80" s="9">
        <v>46027</v>
      </c>
      <c r="B80" s="7" t="s">
        <v>612</v>
      </c>
      <c r="C80" s="10">
        <v>1499</v>
      </c>
    </row>
    <row r="81" spans="1:3">
      <c r="A81" s="9">
        <v>46027</v>
      </c>
      <c r="B81" s="7" t="s">
        <v>613</v>
      </c>
      <c r="C81" s="10">
        <v>1499</v>
      </c>
    </row>
    <row r="82" spans="1:3">
      <c r="A82" s="9">
        <v>46027</v>
      </c>
      <c r="B82" s="7" t="s">
        <v>614</v>
      </c>
      <c r="C82" s="10">
        <v>299</v>
      </c>
    </row>
    <row r="83" spans="1:3">
      <c r="A83" s="7" t="s">
        <v>637</v>
      </c>
      <c r="B83" s="7"/>
      <c r="C83" s="10">
        <v>22030</v>
      </c>
    </row>
    <row r="84" spans="1:3">
      <c r="A84" s="9">
        <v>46028</v>
      </c>
      <c r="B84" s="7" t="s">
        <v>565</v>
      </c>
      <c r="C84" s="10">
        <v>149</v>
      </c>
    </row>
    <row r="85" spans="1:3">
      <c r="A85" s="9">
        <v>46028</v>
      </c>
      <c r="B85" s="7" t="s">
        <v>571</v>
      </c>
      <c r="C85" s="10">
        <v>898</v>
      </c>
    </row>
    <row r="86" spans="1:3">
      <c r="A86" s="9">
        <v>46028</v>
      </c>
      <c r="B86" s="7" t="s">
        <v>579</v>
      </c>
      <c r="C86" s="10">
        <v>49</v>
      </c>
    </row>
    <row r="87" spans="1:3">
      <c r="A87" s="9">
        <v>46028</v>
      </c>
      <c r="B87" s="7" t="s">
        <v>581</v>
      </c>
      <c r="C87" s="10">
        <v>149</v>
      </c>
    </row>
    <row r="88" spans="1:3">
      <c r="A88" s="9">
        <v>46028</v>
      </c>
      <c r="B88" s="7" t="s">
        <v>583</v>
      </c>
      <c r="C88" s="10">
        <v>1499</v>
      </c>
    </row>
    <row r="89" spans="1:3">
      <c r="A89" s="9">
        <v>46028</v>
      </c>
      <c r="B89" s="7" t="s">
        <v>592</v>
      </c>
      <c r="C89" s="10">
        <v>499</v>
      </c>
    </row>
    <row r="90" spans="1:3">
      <c r="A90" s="9">
        <v>46028</v>
      </c>
      <c r="B90" s="7" t="s">
        <v>593</v>
      </c>
      <c r="C90" s="10">
        <v>499</v>
      </c>
    </row>
    <row r="91" spans="1:3">
      <c r="A91" s="9">
        <v>46028</v>
      </c>
      <c r="B91" s="7" t="s">
        <v>599</v>
      </c>
      <c r="C91" s="10">
        <v>898</v>
      </c>
    </row>
    <row r="92" spans="1:3">
      <c r="A92" s="9">
        <v>46028</v>
      </c>
      <c r="B92" s="7" t="s">
        <v>600</v>
      </c>
      <c r="C92" s="10">
        <v>49</v>
      </c>
    </row>
    <row r="93" spans="1:3">
      <c r="A93" s="9">
        <v>46028</v>
      </c>
      <c r="B93" s="7" t="s">
        <v>606</v>
      </c>
      <c r="C93" s="10">
        <v>149</v>
      </c>
    </row>
    <row r="94" spans="1:3">
      <c r="A94" s="9">
        <v>46028</v>
      </c>
      <c r="B94" s="7" t="s">
        <v>612</v>
      </c>
      <c r="C94" s="10">
        <v>99</v>
      </c>
    </row>
    <row r="95" spans="1:3">
      <c r="A95" s="9">
        <v>46028</v>
      </c>
      <c r="B95" s="7" t="s">
        <v>613</v>
      </c>
      <c r="C95" s="10">
        <v>99</v>
      </c>
    </row>
    <row r="96" spans="1:3">
      <c r="A96" s="7" t="s">
        <v>638</v>
      </c>
      <c r="B96" s="7"/>
      <c r="C96" s="10">
        <v>5036</v>
      </c>
    </row>
    <row r="97" spans="1:3">
      <c r="A97" s="9">
        <v>46029</v>
      </c>
      <c r="B97" s="7" t="s">
        <v>568</v>
      </c>
      <c r="C97" s="10">
        <v>499</v>
      </c>
    </row>
    <row r="98" spans="1:3">
      <c r="A98" s="9">
        <v>46029</v>
      </c>
      <c r="B98" s="7" t="s">
        <v>571</v>
      </c>
      <c r="C98" s="10">
        <v>798</v>
      </c>
    </row>
    <row r="99" spans="1:3">
      <c r="A99" s="9">
        <v>46029</v>
      </c>
      <c r="B99" s="7" t="s">
        <v>583</v>
      </c>
      <c r="C99" s="10">
        <v>49</v>
      </c>
    </row>
    <row r="100" spans="1:3">
      <c r="A100" s="9">
        <v>46029</v>
      </c>
      <c r="B100" s="7" t="s">
        <v>587</v>
      </c>
      <c r="C100" s="10">
        <v>49</v>
      </c>
    </row>
    <row r="101" spans="1:3">
      <c r="A101" s="9">
        <v>46029</v>
      </c>
      <c r="B101" s="7" t="s">
        <v>588</v>
      </c>
      <c r="C101" s="10">
        <v>49</v>
      </c>
    </row>
    <row r="102" spans="1:3">
      <c r="A102" s="9">
        <v>46029</v>
      </c>
      <c r="B102" s="7" t="s">
        <v>596</v>
      </c>
      <c r="C102" s="10">
        <v>499</v>
      </c>
    </row>
    <row r="103" spans="1:3">
      <c r="A103" s="9">
        <v>46029</v>
      </c>
      <c r="B103" s="7" t="s">
        <v>598</v>
      </c>
      <c r="C103" s="10">
        <v>299</v>
      </c>
    </row>
    <row r="104" spans="1:3">
      <c r="A104" s="9">
        <v>46029</v>
      </c>
      <c r="B104" s="7" t="s">
        <v>605</v>
      </c>
      <c r="C104" s="10">
        <v>49</v>
      </c>
    </row>
    <row r="105" spans="1:3">
      <c r="A105" s="7" t="s">
        <v>639</v>
      </c>
      <c r="B105" s="7"/>
      <c r="C105" s="10">
        <v>2291</v>
      </c>
    </row>
    <row r="106" spans="1:3">
      <c r="A106" s="9">
        <v>46030</v>
      </c>
      <c r="B106" s="7" t="s">
        <v>568</v>
      </c>
      <c r="C106" s="10">
        <v>299</v>
      </c>
    </row>
    <row r="107" spans="1:3">
      <c r="A107" s="9">
        <v>46030</v>
      </c>
      <c r="B107" s="7" t="s">
        <v>571</v>
      </c>
      <c r="C107" s="10">
        <v>149</v>
      </c>
    </row>
    <row r="108" spans="1:3">
      <c r="A108" s="9">
        <v>46030</v>
      </c>
      <c r="B108" s="7" t="s">
        <v>576</v>
      </c>
      <c r="C108" s="10">
        <v>149</v>
      </c>
    </row>
    <row r="109" spans="1:3">
      <c r="A109" s="9">
        <v>46030</v>
      </c>
      <c r="B109" s="7" t="s">
        <v>578</v>
      </c>
      <c r="C109" s="10">
        <v>299</v>
      </c>
    </row>
    <row r="110" spans="1:3">
      <c r="A110" s="9">
        <v>46030</v>
      </c>
      <c r="B110" s="7" t="s">
        <v>579</v>
      </c>
      <c r="C110" s="10">
        <v>99</v>
      </c>
    </row>
    <row r="111" spans="1:3">
      <c r="A111" s="9">
        <v>46030</v>
      </c>
      <c r="B111" s="7" t="s">
        <v>582</v>
      </c>
      <c r="C111" s="10">
        <v>799</v>
      </c>
    </row>
    <row r="112" spans="1:3">
      <c r="A112" s="9">
        <v>46030</v>
      </c>
      <c r="B112" s="7" t="s">
        <v>585</v>
      </c>
      <c r="C112" s="10">
        <v>149</v>
      </c>
    </row>
    <row r="113" spans="1:3">
      <c r="A113" s="9">
        <v>46030</v>
      </c>
      <c r="B113" s="7" t="s">
        <v>587</v>
      </c>
      <c r="C113" s="10">
        <v>799</v>
      </c>
    </row>
    <row r="114" spans="1:3">
      <c r="A114" s="9">
        <v>46030</v>
      </c>
      <c r="B114" s="7" t="s">
        <v>597</v>
      </c>
      <c r="C114" s="10">
        <v>99</v>
      </c>
    </row>
    <row r="115" spans="1:3">
      <c r="A115" s="9">
        <v>46030</v>
      </c>
      <c r="B115" s="7" t="s">
        <v>602</v>
      </c>
      <c r="C115" s="10">
        <v>49</v>
      </c>
    </row>
    <row r="116" spans="1:3">
      <c r="A116" s="9">
        <v>46030</v>
      </c>
      <c r="B116" s="7" t="s">
        <v>603</v>
      </c>
      <c r="C116" s="10">
        <v>2999</v>
      </c>
    </row>
    <row r="117" spans="1:3">
      <c r="A117" s="9">
        <v>46030</v>
      </c>
      <c r="B117" s="7" t="s">
        <v>604</v>
      </c>
      <c r="C117" s="10">
        <v>1197</v>
      </c>
    </row>
    <row r="118" spans="1:3">
      <c r="A118" s="9">
        <v>46030</v>
      </c>
      <c r="B118" s="7" t="s">
        <v>615</v>
      </c>
      <c r="C118" s="10">
        <v>49</v>
      </c>
    </row>
    <row r="119" spans="1:3">
      <c r="A119" s="7" t="s">
        <v>640</v>
      </c>
      <c r="B119" s="7"/>
      <c r="C119" s="10">
        <v>7135</v>
      </c>
    </row>
    <row r="120" spans="1:3">
      <c r="A120" s="9">
        <v>46031</v>
      </c>
      <c r="B120" s="7" t="s">
        <v>565</v>
      </c>
      <c r="C120" s="10">
        <v>5048</v>
      </c>
    </row>
    <row r="121" spans="1:3">
      <c r="A121" s="9">
        <v>46031</v>
      </c>
      <c r="B121" s="7" t="s">
        <v>574</v>
      </c>
      <c r="C121" s="10">
        <v>348</v>
      </c>
    </row>
    <row r="122" spans="1:3">
      <c r="A122" s="9">
        <v>46031</v>
      </c>
      <c r="B122" s="7" t="s">
        <v>576</v>
      </c>
      <c r="C122" s="10">
        <v>99</v>
      </c>
    </row>
    <row r="123" spans="1:3">
      <c r="A123" s="9">
        <v>46031</v>
      </c>
      <c r="B123" s="7" t="s">
        <v>581</v>
      </c>
      <c r="C123" s="10">
        <v>99</v>
      </c>
    </row>
    <row r="124" spans="1:3">
      <c r="A124" s="9">
        <v>46031</v>
      </c>
      <c r="B124" s="7" t="s">
        <v>584</v>
      </c>
      <c r="C124" s="10">
        <v>799</v>
      </c>
    </row>
    <row r="125" spans="1:3">
      <c r="A125" s="9">
        <v>46031</v>
      </c>
      <c r="B125" s="7" t="s">
        <v>585</v>
      </c>
      <c r="C125" s="10">
        <v>198</v>
      </c>
    </row>
    <row r="126" spans="1:3">
      <c r="A126" s="9">
        <v>46031</v>
      </c>
      <c r="B126" s="7" t="s">
        <v>593</v>
      </c>
      <c r="C126" s="10">
        <v>99</v>
      </c>
    </row>
    <row r="127" spans="1:3">
      <c r="A127" s="9">
        <v>46031</v>
      </c>
      <c r="B127" s="7" t="s">
        <v>595</v>
      </c>
      <c r="C127" s="10">
        <v>499</v>
      </c>
    </row>
    <row r="128" spans="1:3">
      <c r="A128" s="9">
        <v>46031</v>
      </c>
      <c r="B128" s="7" t="s">
        <v>597</v>
      </c>
      <c r="C128" s="10">
        <v>399</v>
      </c>
    </row>
    <row r="129" spans="1:3">
      <c r="A129" s="9">
        <v>46031</v>
      </c>
      <c r="B129" s="7" t="s">
        <v>602</v>
      </c>
      <c r="C129" s="10">
        <v>2999</v>
      </c>
    </row>
    <row r="130" spans="1:3">
      <c r="A130" s="9">
        <v>46031</v>
      </c>
      <c r="B130" s="7" t="s">
        <v>603</v>
      </c>
      <c r="C130" s="10">
        <v>499</v>
      </c>
    </row>
    <row r="131" spans="1:3">
      <c r="A131" s="9">
        <v>46031</v>
      </c>
      <c r="B131" s="7" t="s">
        <v>604</v>
      </c>
      <c r="C131" s="10">
        <v>99</v>
      </c>
    </row>
    <row r="132" spans="1:3">
      <c r="A132" s="9">
        <v>46031</v>
      </c>
      <c r="B132" s="7" t="s">
        <v>605</v>
      </c>
      <c r="C132" s="10">
        <v>1499</v>
      </c>
    </row>
    <row r="133" spans="1:3">
      <c r="A133" s="9">
        <v>46031</v>
      </c>
      <c r="B133" s="7" t="s">
        <v>606</v>
      </c>
      <c r="C133" s="10">
        <v>499</v>
      </c>
    </row>
    <row r="134" spans="1:3">
      <c r="A134" s="9">
        <v>46031</v>
      </c>
      <c r="B134" s="7" t="s">
        <v>608</v>
      </c>
      <c r="C134" s="10">
        <v>299</v>
      </c>
    </row>
    <row r="135" spans="1:3">
      <c r="A135" s="9">
        <v>46031</v>
      </c>
      <c r="B135" s="7" t="s">
        <v>613</v>
      </c>
      <c r="C135" s="10">
        <v>348</v>
      </c>
    </row>
    <row r="136" spans="1:3">
      <c r="A136" s="9">
        <v>46031</v>
      </c>
      <c r="B136" s="7" t="s">
        <v>614</v>
      </c>
      <c r="C136" s="10">
        <v>399</v>
      </c>
    </row>
    <row r="137" spans="1:3">
      <c r="A137" s="7" t="s">
        <v>641</v>
      </c>
      <c r="B137" s="7"/>
      <c r="C137" s="10">
        <v>14229</v>
      </c>
    </row>
    <row r="138" spans="1:3">
      <c r="A138" s="9">
        <v>46032</v>
      </c>
      <c r="B138" s="7" t="s">
        <v>574</v>
      </c>
      <c r="C138" s="10">
        <v>99</v>
      </c>
    </row>
    <row r="139" spans="1:3">
      <c r="A139" s="9">
        <v>46032</v>
      </c>
      <c r="B139" s="7" t="s">
        <v>578</v>
      </c>
      <c r="C139" s="10">
        <v>499</v>
      </c>
    </row>
    <row r="140" spans="1:3">
      <c r="A140" s="9">
        <v>46032</v>
      </c>
      <c r="B140" s="7" t="s">
        <v>581</v>
      </c>
      <c r="C140" s="10">
        <v>49</v>
      </c>
    </row>
    <row r="141" spans="1:3">
      <c r="A141" s="9">
        <v>46032</v>
      </c>
      <c r="B141" s="7" t="s">
        <v>585</v>
      </c>
      <c r="C141" s="10">
        <v>99</v>
      </c>
    </row>
    <row r="142" spans="1:3">
      <c r="A142" s="9">
        <v>46032</v>
      </c>
      <c r="B142" s="7" t="s">
        <v>588</v>
      </c>
      <c r="C142" s="10">
        <v>49</v>
      </c>
    </row>
    <row r="143" spans="1:3">
      <c r="A143" s="9">
        <v>46032</v>
      </c>
      <c r="B143" s="7" t="s">
        <v>593</v>
      </c>
      <c r="C143" s="10">
        <v>2999</v>
      </c>
    </row>
    <row r="144" spans="1:3">
      <c r="A144" s="9">
        <v>46032</v>
      </c>
      <c r="B144" s="7" t="s">
        <v>594</v>
      </c>
      <c r="C144" s="10">
        <v>149</v>
      </c>
    </row>
    <row r="145" spans="1:3">
      <c r="A145" s="9">
        <v>46032</v>
      </c>
      <c r="B145" s="7" t="s">
        <v>596</v>
      </c>
      <c r="C145" s="10">
        <v>499</v>
      </c>
    </row>
    <row r="146" spans="1:3">
      <c r="A146" s="9">
        <v>46032</v>
      </c>
      <c r="B146" s="7" t="s">
        <v>600</v>
      </c>
      <c r="C146" s="10">
        <v>299</v>
      </c>
    </row>
    <row r="147" spans="1:3">
      <c r="A147" s="9">
        <v>46032</v>
      </c>
      <c r="B147" s="7" t="s">
        <v>601</v>
      </c>
      <c r="C147" s="10">
        <v>149</v>
      </c>
    </row>
    <row r="148" spans="1:3">
      <c r="A148" s="9">
        <v>46032</v>
      </c>
      <c r="B148" s="7" t="s">
        <v>602</v>
      </c>
      <c r="C148" s="10">
        <v>499</v>
      </c>
    </row>
    <row r="149" spans="1:3">
      <c r="A149" s="9">
        <v>46032</v>
      </c>
      <c r="B149" s="7" t="s">
        <v>605</v>
      </c>
      <c r="C149" s="10">
        <v>499</v>
      </c>
    </row>
    <row r="150" spans="1:3">
      <c r="A150" s="9">
        <v>46032</v>
      </c>
      <c r="B150" s="7" t="s">
        <v>608</v>
      </c>
      <c r="C150" s="10">
        <v>49</v>
      </c>
    </row>
    <row r="151" spans="1:3">
      <c r="A151" s="9">
        <v>46032</v>
      </c>
      <c r="B151" s="7" t="s">
        <v>613</v>
      </c>
      <c r="C151" s="10">
        <v>398</v>
      </c>
    </row>
    <row r="152" spans="1:3">
      <c r="A152" s="9">
        <v>46032</v>
      </c>
      <c r="B152" s="7" t="s">
        <v>614</v>
      </c>
      <c r="C152" s="10">
        <v>49</v>
      </c>
    </row>
    <row r="153" spans="1:3">
      <c r="A153" s="7" t="s">
        <v>642</v>
      </c>
      <c r="B153" s="7"/>
      <c r="C153" s="10">
        <v>6384</v>
      </c>
    </row>
    <row r="154" spans="1:3">
      <c r="A154" s="9">
        <v>46033</v>
      </c>
      <c r="B154" s="7" t="s">
        <v>565</v>
      </c>
      <c r="C154" s="10">
        <v>299</v>
      </c>
    </row>
    <row r="155" spans="1:3">
      <c r="A155" s="9">
        <v>46033</v>
      </c>
      <c r="B155" s="7" t="s">
        <v>576</v>
      </c>
      <c r="C155" s="10">
        <v>1499</v>
      </c>
    </row>
    <row r="156" spans="1:3">
      <c r="A156" s="9">
        <v>46033</v>
      </c>
      <c r="B156" s="7" t="s">
        <v>579</v>
      </c>
      <c r="C156" s="10">
        <v>149</v>
      </c>
    </row>
    <row r="157" spans="1:3">
      <c r="A157" s="9">
        <v>46033</v>
      </c>
      <c r="B157" s="7" t="s">
        <v>582</v>
      </c>
      <c r="C157" s="10">
        <v>98</v>
      </c>
    </row>
    <row r="158" spans="1:3">
      <c r="A158" s="9">
        <v>46033</v>
      </c>
      <c r="B158" s="7" t="s">
        <v>583</v>
      </c>
      <c r="C158" s="10">
        <v>4999</v>
      </c>
    </row>
    <row r="159" spans="1:3">
      <c r="A159" s="9">
        <v>46033</v>
      </c>
      <c r="B159" s="7" t="s">
        <v>589</v>
      </c>
      <c r="C159" s="10">
        <v>499</v>
      </c>
    </row>
    <row r="160" spans="1:3">
      <c r="A160" s="9">
        <v>46033</v>
      </c>
      <c r="B160" s="7" t="s">
        <v>591</v>
      </c>
      <c r="C160" s="10">
        <v>7998</v>
      </c>
    </row>
    <row r="161" spans="1:3">
      <c r="A161" s="9">
        <v>46033</v>
      </c>
      <c r="B161" s="7" t="s">
        <v>592</v>
      </c>
      <c r="C161" s="10">
        <v>799</v>
      </c>
    </row>
    <row r="162" spans="1:3">
      <c r="A162" s="9">
        <v>46033</v>
      </c>
      <c r="B162" s="7" t="s">
        <v>596</v>
      </c>
      <c r="C162" s="10">
        <v>299</v>
      </c>
    </row>
    <row r="163" spans="1:3">
      <c r="A163" s="9">
        <v>46033</v>
      </c>
      <c r="B163" s="7" t="s">
        <v>598</v>
      </c>
      <c r="C163" s="10">
        <v>799</v>
      </c>
    </row>
    <row r="164" spans="1:3">
      <c r="A164" s="9">
        <v>46033</v>
      </c>
      <c r="B164" s="7" t="s">
        <v>599</v>
      </c>
      <c r="C164" s="10">
        <v>799</v>
      </c>
    </row>
    <row r="165" spans="1:3">
      <c r="A165" s="9">
        <v>46033</v>
      </c>
      <c r="B165" s="7" t="s">
        <v>602</v>
      </c>
      <c r="C165" s="10">
        <v>49</v>
      </c>
    </row>
    <row r="166" spans="1:3">
      <c r="A166" s="9">
        <v>46033</v>
      </c>
      <c r="B166" s="7" t="s">
        <v>609</v>
      </c>
      <c r="C166" s="10">
        <v>4999</v>
      </c>
    </row>
    <row r="167" spans="1:3">
      <c r="A167" s="9">
        <v>46033</v>
      </c>
      <c r="B167" s="7" t="s">
        <v>615</v>
      </c>
      <c r="C167" s="10">
        <v>4999</v>
      </c>
    </row>
    <row r="168" spans="1:3">
      <c r="A168" s="7" t="s">
        <v>643</v>
      </c>
      <c r="B168" s="7"/>
      <c r="C168" s="10">
        <v>28284</v>
      </c>
    </row>
    <row r="169" spans="1:3">
      <c r="A169" s="9">
        <v>46034</v>
      </c>
      <c r="B169" s="7" t="s">
        <v>565</v>
      </c>
      <c r="C169" s="10">
        <v>149</v>
      </c>
    </row>
    <row r="170" spans="1:3">
      <c r="A170" s="9">
        <v>46034</v>
      </c>
      <c r="B170" s="7" t="s">
        <v>568</v>
      </c>
      <c r="C170" s="10">
        <v>348</v>
      </c>
    </row>
    <row r="171" spans="1:3">
      <c r="A171" s="9">
        <v>46034</v>
      </c>
      <c r="B171" s="7" t="s">
        <v>573</v>
      </c>
      <c r="C171" s="10">
        <v>49</v>
      </c>
    </row>
    <row r="172" spans="1:3">
      <c r="A172" s="9">
        <v>46034</v>
      </c>
      <c r="B172" s="7" t="s">
        <v>579</v>
      </c>
      <c r="C172" s="10">
        <v>398</v>
      </c>
    </row>
    <row r="173" spans="1:3">
      <c r="A173" s="9">
        <v>46034</v>
      </c>
      <c r="B173" s="7" t="s">
        <v>581</v>
      </c>
      <c r="C173" s="10">
        <v>299</v>
      </c>
    </row>
    <row r="174" spans="1:3">
      <c r="A174" s="9">
        <v>46034</v>
      </c>
      <c r="B174" s="7" t="s">
        <v>582</v>
      </c>
      <c r="C174" s="10">
        <v>399</v>
      </c>
    </row>
    <row r="175" spans="1:3">
      <c r="A175" s="9">
        <v>46034</v>
      </c>
      <c r="B175" s="7" t="s">
        <v>584</v>
      </c>
      <c r="C175" s="10">
        <v>1998</v>
      </c>
    </row>
    <row r="176" spans="1:3">
      <c r="A176" s="9">
        <v>46034</v>
      </c>
      <c r="B176" s="7" t="s">
        <v>591</v>
      </c>
      <c r="C176" s="10">
        <v>1499</v>
      </c>
    </row>
    <row r="177" spans="1:3">
      <c r="A177" s="9">
        <v>46034</v>
      </c>
      <c r="B177" s="7" t="s">
        <v>592</v>
      </c>
      <c r="C177" s="10">
        <v>49</v>
      </c>
    </row>
    <row r="178" spans="1:3">
      <c r="A178" s="9">
        <v>46034</v>
      </c>
      <c r="B178" s="7" t="s">
        <v>596</v>
      </c>
      <c r="C178" s="10">
        <v>1697</v>
      </c>
    </row>
    <row r="179" spans="1:3">
      <c r="A179" s="9">
        <v>46034</v>
      </c>
      <c r="B179" s="7" t="s">
        <v>597</v>
      </c>
      <c r="C179" s="10">
        <v>149</v>
      </c>
    </row>
    <row r="180" spans="1:3">
      <c r="A180" s="9">
        <v>46034</v>
      </c>
      <c r="B180" s="7" t="s">
        <v>598</v>
      </c>
      <c r="C180" s="10">
        <v>149</v>
      </c>
    </row>
    <row r="181" spans="1:3">
      <c r="A181" s="9">
        <v>46034</v>
      </c>
      <c r="B181" s="7" t="s">
        <v>600</v>
      </c>
      <c r="C181" s="10">
        <v>299</v>
      </c>
    </row>
    <row r="182" spans="1:3">
      <c r="A182" s="9">
        <v>46034</v>
      </c>
      <c r="B182" s="7" t="s">
        <v>601</v>
      </c>
      <c r="C182" s="10">
        <v>299</v>
      </c>
    </row>
    <row r="183" spans="1:3">
      <c r="A183" s="9">
        <v>46034</v>
      </c>
      <c r="B183" s="7" t="s">
        <v>603</v>
      </c>
      <c r="C183" s="10">
        <v>399</v>
      </c>
    </row>
    <row r="184" spans="1:3">
      <c r="A184" s="9">
        <v>46034</v>
      </c>
      <c r="B184" s="7" t="s">
        <v>604</v>
      </c>
      <c r="C184" s="10">
        <v>499</v>
      </c>
    </row>
    <row r="185" spans="1:3">
      <c r="A185" s="9">
        <v>46034</v>
      </c>
      <c r="B185" s="7" t="s">
        <v>605</v>
      </c>
      <c r="C185" s="10">
        <v>598</v>
      </c>
    </row>
    <row r="186" spans="1:3">
      <c r="A186" s="9">
        <v>46034</v>
      </c>
      <c r="B186" s="7" t="s">
        <v>607</v>
      </c>
      <c r="C186" s="10">
        <v>299</v>
      </c>
    </row>
    <row r="187" spans="1:3">
      <c r="A187" s="9">
        <v>46034</v>
      </c>
      <c r="B187" s="7" t="s">
        <v>608</v>
      </c>
      <c r="C187" s="10">
        <v>399</v>
      </c>
    </row>
    <row r="188" spans="1:3">
      <c r="A188" s="9">
        <v>46034</v>
      </c>
      <c r="B188" s="7" t="s">
        <v>609</v>
      </c>
      <c r="C188" s="10">
        <v>99</v>
      </c>
    </row>
    <row r="189" spans="1:3">
      <c r="A189" s="9">
        <v>46034</v>
      </c>
      <c r="B189" s="7" t="s">
        <v>612</v>
      </c>
      <c r="C189" s="10">
        <v>149</v>
      </c>
    </row>
    <row r="190" spans="1:3">
      <c r="A190" s="9">
        <v>46034</v>
      </c>
      <c r="B190" s="7" t="s">
        <v>615</v>
      </c>
      <c r="C190" s="10">
        <v>99</v>
      </c>
    </row>
    <row r="191" spans="1:3">
      <c r="A191" s="7" t="s">
        <v>644</v>
      </c>
      <c r="B191" s="7"/>
      <c r="C191" s="10">
        <v>10322</v>
      </c>
    </row>
    <row r="192" spans="1:3">
      <c r="A192" s="9">
        <v>46035</v>
      </c>
      <c r="B192" s="7" t="s">
        <v>568</v>
      </c>
      <c r="C192" s="10">
        <v>49</v>
      </c>
    </row>
    <row r="193" spans="1:3">
      <c r="A193" s="9">
        <v>46035</v>
      </c>
      <c r="B193" s="7" t="s">
        <v>571</v>
      </c>
      <c r="C193" s="10">
        <v>198</v>
      </c>
    </row>
    <row r="194" spans="1:3">
      <c r="A194" s="9">
        <v>46035</v>
      </c>
      <c r="B194" s="7" t="s">
        <v>573</v>
      </c>
      <c r="C194" s="10">
        <v>948</v>
      </c>
    </row>
    <row r="195" spans="1:3">
      <c r="A195" s="9">
        <v>46035</v>
      </c>
      <c r="B195" s="7" t="s">
        <v>576</v>
      </c>
      <c r="C195" s="10">
        <v>1499</v>
      </c>
    </row>
    <row r="196" spans="1:3">
      <c r="A196" s="9">
        <v>46035</v>
      </c>
      <c r="B196" s="7" t="s">
        <v>582</v>
      </c>
      <c r="C196" s="10">
        <v>1499</v>
      </c>
    </row>
    <row r="197" spans="1:3">
      <c r="A197" s="9">
        <v>46035</v>
      </c>
      <c r="B197" s="7" t="s">
        <v>588</v>
      </c>
      <c r="C197" s="10">
        <v>299</v>
      </c>
    </row>
    <row r="198" spans="1:3">
      <c r="A198" s="9">
        <v>46035</v>
      </c>
      <c r="B198" s="7" t="s">
        <v>596</v>
      </c>
      <c r="C198" s="10">
        <v>5798</v>
      </c>
    </row>
    <row r="199" spans="1:3">
      <c r="A199" s="9">
        <v>46035</v>
      </c>
      <c r="B199" s="7" t="s">
        <v>599</v>
      </c>
      <c r="C199" s="10">
        <v>49</v>
      </c>
    </row>
    <row r="200" spans="1:3">
      <c r="A200" s="9">
        <v>46035</v>
      </c>
      <c r="B200" s="7" t="s">
        <v>604</v>
      </c>
      <c r="C200" s="10">
        <v>1499</v>
      </c>
    </row>
    <row r="201" spans="1:3">
      <c r="A201" s="9">
        <v>46035</v>
      </c>
      <c r="B201" s="7" t="s">
        <v>605</v>
      </c>
      <c r="C201" s="10">
        <v>299</v>
      </c>
    </row>
    <row r="202" spans="1:3">
      <c r="A202" s="9">
        <v>46035</v>
      </c>
      <c r="B202" s="7" t="s">
        <v>606</v>
      </c>
      <c r="C202" s="10">
        <v>1999</v>
      </c>
    </row>
    <row r="203" spans="1:3">
      <c r="A203" s="9">
        <v>46035</v>
      </c>
      <c r="B203" s="7" t="s">
        <v>609</v>
      </c>
      <c r="C203" s="10">
        <v>149</v>
      </c>
    </row>
    <row r="204" spans="1:3">
      <c r="A204" s="9">
        <v>46035</v>
      </c>
      <c r="B204" s="7" t="s">
        <v>615</v>
      </c>
      <c r="C204" s="10">
        <v>299</v>
      </c>
    </row>
    <row r="205" spans="1:3">
      <c r="A205" s="7" t="s">
        <v>645</v>
      </c>
      <c r="B205" s="7"/>
      <c r="C205" s="10">
        <v>14584</v>
      </c>
    </row>
    <row r="206" spans="1:3">
      <c r="A206" s="9">
        <v>46036</v>
      </c>
      <c r="B206" s="7" t="s">
        <v>582</v>
      </c>
      <c r="C206" s="10">
        <v>499</v>
      </c>
    </row>
    <row r="207" spans="1:3">
      <c r="A207" s="9">
        <v>46036</v>
      </c>
      <c r="B207" s="7" t="s">
        <v>584</v>
      </c>
      <c r="C207" s="10">
        <v>548</v>
      </c>
    </row>
    <row r="208" spans="1:3">
      <c r="A208" s="9">
        <v>46036</v>
      </c>
      <c r="B208" s="7" t="s">
        <v>585</v>
      </c>
      <c r="C208" s="10">
        <v>1499</v>
      </c>
    </row>
    <row r="209" spans="1:3">
      <c r="A209" s="9">
        <v>46036</v>
      </c>
      <c r="B209" s="7" t="s">
        <v>588</v>
      </c>
      <c r="C209" s="10">
        <v>399</v>
      </c>
    </row>
    <row r="210" spans="1:3">
      <c r="A210" s="9">
        <v>46036</v>
      </c>
      <c r="B210" s="7" t="s">
        <v>592</v>
      </c>
      <c r="C210" s="10">
        <v>149</v>
      </c>
    </row>
    <row r="211" spans="1:3">
      <c r="A211" s="9">
        <v>46036</v>
      </c>
      <c r="B211" s="7" t="s">
        <v>595</v>
      </c>
      <c r="C211" s="10">
        <v>49</v>
      </c>
    </row>
    <row r="212" spans="1:3">
      <c r="A212" s="9">
        <v>46036</v>
      </c>
      <c r="B212" s="7" t="s">
        <v>596</v>
      </c>
      <c r="C212" s="10">
        <v>799</v>
      </c>
    </row>
    <row r="213" spans="1:3">
      <c r="A213" s="9">
        <v>46036</v>
      </c>
      <c r="B213" s="7" t="s">
        <v>598</v>
      </c>
      <c r="C213" s="10">
        <v>499</v>
      </c>
    </row>
    <row r="214" spans="1:3">
      <c r="A214" s="9">
        <v>46036</v>
      </c>
      <c r="B214" s="7" t="s">
        <v>600</v>
      </c>
      <c r="C214" s="10">
        <v>299</v>
      </c>
    </row>
    <row r="215" spans="1:3">
      <c r="A215" s="9">
        <v>46036</v>
      </c>
      <c r="B215" s="7" t="s">
        <v>601</v>
      </c>
      <c r="C215" s="10">
        <v>149</v>
      </c>
    </row>
    <row r="216" spans="1:3">
      <c r="A216" s="9">
        <v>46036</v>
      </c>
      <c r="B216" s="7" t="s">
        <v>602</v>
      </c>
      <c r="C216" s="10">
        <v>49</v>
      </c>
    </row>
    <row r="217" spans="1:3">
      <c r="A217" s="9">
        <v>46036</v>
      </c>
      <c r="B217" s="7" t="s">
        <v>603</v>
      </c>
      <c r="C217" s="10">
        <v>1998</v>
      </c>
    </row>
    <row r="218" spans="1:3">
      <c r="A218" s="9">
        <v>46036</v>
      </c>
      <c r="B218" s="7" t="s">
        <v>604</v>
      </c>
      <c r="C218" s="10">
        <v>2497</v>
      </c>
    </row>
    <row r="219" spans="1:3">
      <c r="A219" s="9">
        <v>46036</v>
      </c>
      <c r="B219" s="7" t="s">
        <v>605</v>
      </c>
      <c r="C219" s="10">
        <v>499</v>
      </c>
    </row>
    <row r="220" spans="1:3">
      <c r="A220" s="9">
        <v>46036</v>
      </c>
      <c r="B220" s="7" t="s">
        <v>615</v>
      </c>
      <c r="C220" s="10">
        <v>99</v>
      </c>
    </row>
    <row r="221" spans="1:3">
      <c r="A221" s="7" t="s">
        <v>646</v>
      </c>
      <c r="B221" s="7"/>
      <c r="C221" s="10">
        <v>10031</v>
      </c>
    </row>
    <row r="222" spans="1:3">
      <c r="A222" s="9">
        <v>46037</v>
      </c>
      <c r="B222" s="7" t="s">
        <v>568</v>
      </c>
      <c r="C222" s="10">
        <v>1499</v>
      </c>
    </row>
    <row r="223" spans="1:3">
      <c r="A223" s="9">
        <v>46037</v>
      </c>
      <c r="B223" s="7" t="s">
        <v>574</v>
      </c>
      <c r="C223" s="10">
        <v>548</v>
      </c>
    </row>
    <row r="224" spans="1:3">
      <c r="A224" s="9">
        <v>46037</v>
      </c>
      <c r="B224" s="7" t="s">
        <v>576</v>
      </c>
      <c r="C224" s="10">
        <v>49</v>
      </c>
    </row>
    <row r="225" spans="1:3">
      <c r="A225" s="9">
        <v>46037</v>
      </c>
      <c r="B225" s="7" t="s">
        <v>578</v>
      </c>
      <c r="C225" s="10">
        <v>1648</v>
      </c>
    </row>
    <row r="226" spans="1:3">
      <c r="A226" s="9">
        <v>46037</v>
      </c>
      <c r="B226" s="7" t="s">
        <v>581</v>
      </c>
      <c r="C226" s="10">
        <v>148</v>
      </c>
    </row>
    <row r="227" spans="1:3">
      <c r="A227" s="9">
        <v>46037</v>
      </c>
      <c r="B227" s="7" t="s">
        <v>582</v>
      </c>
      <c r="C227" s="10">
        <v>2999</v>
      </c>
    </row>
    <row r="228" spans="1:3">
      <c r="A228" s="9">
        <v>46037</v>
      </c>
      <c r="B228" s="7" t="s">
        <v>585</v>
      </c>
      <c r="C228" s="10">
        <v>49</v>
      </c>
    </row>
    <row r="229" spans="1:3">
      <c r="A229" s="9">
        <v>46037</v>
      </c>
      <c r="B229" s="7" t="s">
        <v>589</v>
      </c>
      <c r="C229" s="10">
        <v>2999</v>
      </c>
    </row>
    <row r="230" spans="1:3">
      <c r="A230" s="9">
        <v>46037</v>
      </c>
      <c r="B230" s="7" t="s">
        <v>592</v>
      </c>
      <c r="C230" s="10">
        <v>149</v>
      </c>
    </row>
    <row r="231" spans="1:3">
      <c r="A231" s="9">
        <v>46037</v>
      </c>
      <c r="B231" s="7" t="s">
        <v>593</v>
      </c>
      <c r="C231" s="10">
        <v>398</v>
      </c>
    </row>
    <row r="232" spans="1:3">
      <c r="A232" s="9">
        <v>46037</v>
      </c>
      <c r="B232" s="7" t="s">
        <v>595</v>
      </c>
      <c r="C232" s="10">
        <v>299</v>
      </c>
    </row>
    <row r="233" spans="1:3">
      <c r="A233" s="9">
        <v>46037</v>
      </c>
      <c r="B233" s="7" t="s">
        <v>599</v>
      </c>
      <c r="C233" s="10">
        <v>49</v>
      </c>
    </row>
    <row r="234" spans="1:3">
      <c r="A234" s="9">
        <v>46037</v>
      </c>
      <c r="B234" s="7" t="s">
        <v>601</v>
      </c>
      <c r="C234" s="10">
        <v>1499</v>
      </c>
    </row>
    <row r="235" spans="1:3">
      <c r="A235" s="9">
        <v>46037</v>
      </c>
      <c r="B235" s="7" t="s">
        <v>602</v>
      </c>
      <c r="C235" s="10">
        <v>2999</v>
      </c>
    </row>
    <row r="236" spans="1:3">
      <c r="A236" s="9">
        <v>46037</v>
      </c>
      <c r="B236" s="7" t="s">
        <v>603</v>
      </c>
      <c r="C236" s="10">
        <v>1098</v>
      </c>
    </row>
    <row r="237" spans="1:3">
      <c r="A237" s="9">
        <v>46037</v>
      </c>
      <c r="B237" s="7" t="s">
        <v>604</v>
      </c>
      <c r="C237" s="10">
        <v>49</v>
      </c>
    </row>
    <row r="238" spans="1:3">
      <c r="A238" s="9">
        <v>46037</v>
      </c>
      <c r="B238" s="7" t="s">
        <v>605</v>
      </c>
      <c r="C238" s="10">
        <v>299</v>
      </c>
    </row>
    <row r="239" spans="1:3">
      <c r="A239" s="9">
        <v>46037</v>
      </c>
      <c r="B239" s="7" t="s">
        <v>606</v>
      </c>
      <c r="C239" s="10">
        <v>148</v>
      </c>
    </row>
    <row r="240" spans="1:3">
      <c r="A240" s="9">
        <v>46037</v>
      </c>
      <c r="B240" s="7" t="s">
        <v>607</v>
      </c>
      <c r="C240" s="10">
        <v>799</v>
      </c>
    </row>
    <row r="241" spans="1:3">
      <c r="A241" s="9">
        <v>46037</v>
      </c>
      <c r="B241" s="7" t="s">
        <v>613</v>
      </c>
      <c r="C241" s="10">
        <v>499</v>
      </c>
    </row>
    <row r="242" spans="1:3">
      <c r="A242" s="9">
        <v>46037</v>
      </c>
      <c r="B242" s="7" t="s">
        <v>615</v>
      </c>
      <c r="C242" s="10">
        <v>149</v>
      </c>
    </row>
    <row r="243" spans="1:3">
      <c r="A243" s="7" t="s">
        <v>647</v>
      </c>
      <c r="B243" s="7"/>
      <c r="C243" s="10">
        <v>18373</v>
      </c>
    </row>
    <row r="244" spans="1:3">
      <c r="A244" s="9">
        <v>46038</v>
      </c>
      <c r="B244" s="7" t="s">
        <v>571</v>
      </c>
      <c r="C244" s="10">
        <v>4999</v>
      </c>
    </row>
    <row r="245" spans="1:3">
      <c r="A245" s="9">
        <v>46038</v>
      </c>
      <c r="B245" s="7" t="s">
        <v>573</v>
      </c>
      <c r="C245" s="10">
        <v>799</v>
      </c>
    </row>
    <row r="246" spans="1:3">
      <c r="A246" s="9">
        <v>46038</v>
      </c>
      <c r="B246" s="7" t="s">
        <v>579</v>
      </c>
      <c r="C246" s="10">
        <v>2999</v>
      </c>
    </row>
    <row r="247" spans="1:3">
      <c r="A247" s="9">
        <v>46038</v>
      </c>
      <c r="B247" s="7" t="s">
        <v>582</v>
      </c>
      <c r="C247" s="10">
        <v>49</v>
      </c>
    </row>
    <row r="248" spans="1:3">
      <c r="A248" s="9">
        <v>46038</v>
      </c>
      <c r="B248" s="7" t="s">
        <v>592</v>
      </c>
      <c r="C248" s="10">
        <v>3148</v>
      </c>
    </row>
    <row r="249" spans="1:3">
      <c r="A249" s="9">
        <v>46038</v>
      </c>
      <c r="B249" s="7" t="s">
        <v>593</v>
      </c>
      <c r="C249" s="10">
        <v>4999</v>
      </c>
    </row>
    <row r="250" spans="1:3">
      <c r="A250" s="9">
        <v>46038</v>
      </c>
      <c r="B250" s="7" t="s">
        <v>595</v>
      </c>
      <c r="C250" s="10">
        <v>799</v>
      </c>
    </row>
    <row r="251" spans="1:3">
      <c r="A251" s="9">
        <v>46038</v>
      </c>
      <c r="B251" s="7" t="s">
        <v>599</v>
      </c>
      <c r="C251" s="10">
        <v>799</v>
      </c>
    </row>
    <row r="252" spans="1:3">
      <c r="A252" s="9">
        <v>46038</v>
      </c>
      <c r="B252" s="7" t="s">
        <v>602</v>
      </c>
      <c r="C252" s="10">
        <v>299</v>
      </c>
    </row>
    <row r="253" spans="1:3">
      <c r="A253" s="9">
        <v>46038</v>
      </c>
      <c r="B253" s="7" t="s">
        <v>605</v>
      </c>
      <c r="C253" s="10">
        <v>499</v>
      </c>
    </row>
    <row r="254" spans="1:3">
      <c r="A254" s="9">
        <v>46038</v>
      </c>
      <c r="B254" s="7" t="s">
        <v>610</v>
      </c>
      <c r="C254" s="10">
        <v>1499</v>
      </c>
    </row>
    <row r="255" spans="1:3">
      <c r="A255" s="9">
        <v>46038</v>
      </c>
      <c r="B255" s="7" t="s">
        <v>612</v>
      </c>
      <c r="C255" s="10">
        <v>2999</v>
      </c>
    </row>
    <row r="256" spans="1:3">
      <c r="A256" s="9">
        <v>46038</v>
      </c>
      <c r="B256" s="7" t="s">
        <v>614</v>
      </c>
      <c r="C256" s="10">
        <v>499</v>
      </c>
    </row>
    <row r="257" spans="1:3">
      <c r="A257" s="7" t="s">
        <v>648</v>
      </c>
      <c r="B257" s="7"/>
      <c r="C257" s="10">
        <v>24386</v>
      </c>
    </row>
    <row r="258" spans="1:3">
      <c r="A258" s="9">
        <v>46039</v>
      </c>
      <c r="B258" s="7" t="s">
        <v>565</v>
      </c>
      <c r="C258" s="10">
        <v>149</v>
      </c>
    </row>
    <row r="259" spans="1:3">
      <c r="A259" s="9">
        <v>46039</v>
      </c>
      <c r="B259" s="7" t="s">
        <v>573</v>
      </c>
      <c r="C259" s="10">
        <v>1499</v>
      </c>
    </row>
    <row r="260" spans="1:3">
      <c r="A260" s="9">
        <v>46039</v>
      </c>
      <c r="B260" s="7" t="s">
        <v>574</v>
      </c>
      <c r="C260" s="10">
        <v>499</v>
      </c>
    </row>
    <row r="261" spans="1:3">
      <c r="A261" s="9">
        <v>46039</v>
      </c>
      <c r="B261" s="7" t="s">
        <v>576</v>
      </c>
      <c r="C261" s="10">
        <v>799</v>
      </c>
    </row>
    <row r="262" spans="1:3">
      <c r="A262" s="9">
        <v>46039</v>
      </c>
      <c r="B262" s="7" t="s">
        <v>578</v>
      </c>
      <c r="C262" s="10">
        <v>149</v>
      </c>
    </row>
    <row r="263" spans="1:3">
      <c r="A263" s="9">
        <v>46039</v>
      </c>
      <c r="B263" s="7" t="s">
        <v>579</v>
      </c>
      <c r="C263" s="10">
        <v>348</v>
      </c>
    </row>
    <row r="264" spans="1:3">
      <c r="A264" s="9">
        <v>46039</v>
      </c>
      <c r="B264" s="7" t="s">
        <v>581</v>
      </c>
      <c r="C264" s="10">
        <v>248</v>
      </c>
    </row>
    <row r="265" spans="1:3">
      <c r="A265" s="9">
        <v>46039</v>
      </c>
      <c r="B265" s="7" t="s">
        <v>591</v>
      </c>
      <c r="C265" s="10">
        <v>299</v>
      </c>
    </row>
    <row r="266" spans="1:3">
      <c r="A266" s="9">
        <v>46039</v>
      </c>
      <c r="B266" s="7" t="s">
        <v>596</v>
      </c>
      <c r="C266" s="10">
        <v>1598</v>
      </c>
    </row>
    <row r="267" spans="1:3">
      <c r="A267" s="9">
        <v>46039</v>
      </c>
      <c r="B267" s="7" t="s">
        <v>597</v>
      </c>
      <c r="C267" s="10">
        <v>49</v>
      </c>
    </row>
    <row r="268" spans="1:3">
      <c r="A268" s="9">
        <v>46039</v>
      </c>
      <c r="B268" s="7" t="s">
        <v>601</v>
      </c>
      <c r="C268" s="10">
        <v>1597</v>
      </c>
    </row>
    <row r="269" spans="1:3">
      <c r="A269" s="9">
        <v>46039</v>
      </c>
      <c r="B269" s="7" t="s">
        <v>603</v>
      </c>
      <c r="C269" s="10">
        <v>49</v>
      </c>
    </row>
    <row r="270" spans="1:3">
      <c r="A270" s="9">
        <v>46039</v>
      </c>
      <c r="B270" s="7" t="s">
        <v>604</v>
      </c>
      <c r="C270" s="10">
        <v>49</v>
      </c>
    </row>
    <row r="271" spans="1:3">
      <c r="A271" s="9">
        <v>46039</v>
      </c>
      <c r="B271" s="7" t="s">
        <v>608</v>
      </c>
      <c r="C271" s="10">
        <v>299</v>
      </c>
    </row>
    <row r="272" spans="1:3">
      <c r="A272" s="9">
        <v>46039</v>
      </c>
      <c r="B272" s="7" t="s">
        <v>610</v>
      </c>
      <c r="C272" s="10">
        <v>1499</v>
      </c>
    </row>
    <row r="273" spans="1:3">
      <c r="A273" s="9">
        <v>46039</v>
      </c>
      <c r="B273" s="7" t="s">
        <v>612</v>
      </c>
      <c r="C273" s="10">
        <v>49</v>
      </c>
    </row>
    <row r="274" spans="1:3">
      <c r="A274" s="9">
        <v>46039</v>
      </c>
      <c r="B274" s="7" t="s">
        <v>614</v>
      </c>
      <c r="C274" s="10">
        <v>2999</v>
      </c>
    </row>
    <row r="275" spans="1:3">
      <c r="A275" s="7" t="s">
        <v>649</v>
      </c>
      <c r="B275" s="7"/>
      <c r="C275" s="10">
        <v>12178</v>
      </c>
    </row>
    <row r="276" spans="1:3">
      <c r="A276" s="9">
        <v>46040</v>
      </c>
      <c r="B276" s="7" t="s">
        <v>574</v>
      </c>
      <c r="C276" s="10">
        <v>299</v>
      </c>
    </row>
    <row r="277" spans="1:3">
      <c r="A277" s="9">
        <v>46040</v>
      </c>
      <c r="B277" s="7" t="s">
        <v>579</v>
      </c>
      <c r="C277" s="10">
        <v>499</v>
      </c>
    </row>
    <row r="278" spans="1:3">
      <c r="A278" s="9">
        <v>46040</v>
      </c>
      <c r="B278" s="7" t="s">
        <v>581</v>
      </c>
      <c r="C278" s="10">
        <v>299</v>
      </c>
    </row>
    <row r="279" spans="1:3">
      <c r="A279" s="9">
        <v>46040</v>
      </c>
      <c r="B279" s="7" t="s">
        <v>583</v>
      </c>
      <c r="C279" s="10">
        <v>499</v>
      </c>
    </row>
    <row r="280" spans="1:3">
      <c r="A280" s="9">
        <v>46040</v>
      </c>
      <c r="B280" s="7" t="s">
        <v>584</v>
      </c>
      <c r="C280" s="10">
        <v>799</v>
      </c>
    </row>
    <row r="281" spans="1:3">
      <c r="A281" s="9">
        <v>46040</v>
      </c>
      <c r="B281" s="7" t="s">
        <v>587</v>
      </c>
      <c r="C281" s="10">
        <v>99</v>
      </c>
    </row>
    <row r="282" spans="1:3">
      <c r="A282" s="9">
        <v>46040</v>
      </c>
      <c r="B282" s="7" t="s">
        <v>589</v>
      </c>
      <c r="C282" s="10">
        <v>49</v>
      </c>
    </row>
    <row r="283" spans="1:3">
      <c r="A283" s="9">
        <v>46040</v>
      </c>
      <c r="B283" s="7" t="s">
        <v>591</v>
      </c>
      <c r="C283" s="10">
        <v>198</v>
      </c>
    </row>
    <row r="284" spans="1:3">
      <c r="A284" s="9">
        <v>46040</v>
      </c>
      <c r="B284" s="7" t="s">
        <v>592</v>
      </c>
      <c r="C284" s="10">
        <v>499</v>
      </c>
    </row>
    <row r="285" spans="1:3">
      <c r="A285" s="9">
        <v>46040</v>
      </c>
      <c r="B285" s="7" t="s">
        <v>595</v>
      </c>
      <c r="C285" s="10">
        <v>799</v>
      </c>
    </row>
    <row r="286" spans="1:3">
      <c r="A286" s="9">
        <v>46040</v>
      </c>
      <c r="B286" s="7" t="s">
        <v>597</v>
      </c>
      <c r="C286" s="10">
        <v>1999</v>
      </c>
    </row>
    <row r="287" spans="1:3">
      <c r="A287" s="9">
        <v>46040</v>
      </c>
      <c r="B287" s="7" t="s">
        <v>604</v>
      </c>
      <c r="C287" s="10">
        <v>799</v>
      </c>
    </row>
    <row r="288" spans="1:3">
      <c r="A288" s="9">
        <v>46040</v>
      </c>
      <c r="B288" s="7" t="s">
        <v>605</v>
      </c>
      <c r="C288" s="10">
        <v>49</v>
      </c>
    </row>
    <row r="289" spans="1:3">
      <c r="A289" s="9">
        <v>46040</v>
      </c>
      <c r="B289" s="7" t="s">
        <v>606</v>
      </c>
      <c r="C289" s="10">
        <v>149</v>
      </c>
    </row>
    <row r="290" spans="1:3">
      <c r="A290" s="9">
        <v>46040</v>
      </c>
      <c r="B290" s="7" t="s">
        <v>608</v>
      </c>
      <c r="C290" s="10">
        <v>148</v>
      </c>
    </row>
    <row r="291" spans="1:3">
      <c r="A291" s="9">
        <v>46040</v>
      </c>
      <c r="B291" s="7" t="s">
        <v>614</v>
      </c>
      <c r="C291" s="10">
        <v>2999</v>
      </c>
    </row>
    <row r="292" spans="1:3">
      <c r="A292" s="9">
        <v>46040</v>
      </c>
      <c r="B292" s="7" t="s">
        <v>615</v>
      </c>
      <c r="C292" s="10">
        <v>799</v>
      </c>
    </row>
    <row r="293" spans="1:3">
      <c r="A293" s="7" t="s">
        <v>650</v>
      </c>
      <c r="B293" s="7"/>
      <c r="C293" s="10">
        <v>10981</v>
      </c>
    </row>
    <row r="294" spans="1:3">
      <c r="A294" s="9">
        <v>46041</v>
      </c>
      <c r="B294" s="7" t="s">
        <v>568</v>
      </c>
      <c r="C294" s="10">
        <v>49</v>
      </c>
    </row>
    <row r="295" spans="1:3">
      <c r="A295" s="9">
        <v>46041</v>
      </c>
      <c r="B295" s="7" t="s">
        <v>574</v>
      </c>
      <c r="C295" s="10">
        <v>49</v>
      </c>
    </row>
    <row r="296" spans="1:3">
      <c r="A296" s="9">
        <v>46041</v>
      </c>
      <c r="B296" s="7" t="s">
        <v>576</v>
      </c>
      <c r="C296" s="10">
        <v>49</v>
      </c>
    </row>
    <row r="297" spans="1:3">
      <c r="A297" s="9">
        <v>46041</v>
      </c>
      <c r="B297" s="7" t="s">
        <v>579</v>
      </c>
      <c r="C297" s="10">
        <v>99</v>
      </c>
    </row>
    <row r="298" spans="1:3">
      <c r="A298" s="9">
        <v>46041</v>
      </c>
      <c r="B298" s="7" t="s">
        <v>581</v>
      </c>
      <c r="C298" s="10">
        <v>299</v>
      </c>
    </row>
    <row r="299" spans="1:3">
      <c r="A299" s="9">
        <v>46041</v>
      </c>
      <c r="B299" s="7" t="s">
        <v>582</v>
      </c>
      <c r="C299" s="10">
        <v>499</v>
      </c>
    </row>
    <row r="300" spans="1:3">
      <c r="A300" s="9">
        <v>46041</v>
      </c>
      <c r="B300" s="7" t="s">
        <v>587</v>
      </c>
      <c r="C300" s="10">
        <v>99</v>
      </c>
    </row>
    <row r="301" spans="1:3">
      <c r="A301" s="9">
        <v>46041</v>
      </c>
      <c r="B301" s="7" t="s">
        <v>588</v>
      </c>
      <c r="C301" s="10">
        <v>499</v>
      </c>
    </row>
    <row r="302" spans="1:3">
      <c r="A302" s="9">
        <v>46041</v>
      </c>
      <c r="B302" s="7" t="s">
        <v>591</v>
      </c>
      <c r="C302" s="10">
        <v>49</v>
      </c>
    </row>
    <row r="303" spans="1:3">
      <c r="A303" s="9">
        <v>46041</v>
      </c>
      <c r="B303" s="7" t="s">
        <v>593</v>
      </c>
      <c r="C303" s="10">
        <v>99</v>
      </c>
    </row>
    <row r="304" spans="1:3">
      <c r="A304" s="9">
        <v>46041</v>
      </c>
      <c r="B304" s="7" t="s">
        <v>595</v>
      </c>
      <c r="C304" s="10">
        <v>99</v>
      </c>
    </row>
    <row r="305" spans="1:3">
      <c r="A305" s="9">
        <v>46041</v>
      </c>
      <c r="B305" s="7" t="s">
        <v>599</v>
      </c>
      <c r="C305" s="10">
        <v>4498</v>
      </c>
    </row>
    <row r="306" spans="1:3">
      <c r="A306" s="9">
        <v>46041</v>
      </c>
      <c r="B306" s="7" t="s">
        <v>601</v>
      </c>
      <c r="C306" s="10">
        <v>49</v>
      </c>
    </row>
    <row r="307" spans="1:3">
      <c r="A307" s="9">
        <v>46041</v>
      </c>
      <c r="B307" s="7" t="s">
        <v>603</v>
      </c>
      <c r="C307" s="10">
        <v>49</v>
      </c>
    </row>
    <row r="308" spans="1:3">
      <c r="A308" s="9">
        <v>46041</v>
      </c>
      <c r="B308" s="7" t="s">
        <v>608</v>
      </c>
      <c r="C308" s="10">
        <v>499</v>
      </c>
    </row>
    <row r="309" spans="1:3">
      <c r="A309" s="9">
        <v>46041</v>
      </c>
      <c r="B309" s="7" t="s">
        <v>610</v>
      </c>
      <c r="C309" s="10">
        <v>4999</v>
      </c>
    </row>
    <row r="310" spans="1:3">
      <c r="A310" s="9">
        <v>46041</v>
      </c>
      <c r="B310" s="7" t="s">
        <v>615</v>
      </c>
      <c r="C310" s="10">
        <v>648</v>
      </c>
    </row>
    <row r="311" spans="1:3">
      <c r="A311" s="7" t="s">
        <v>651</v>
      </c>
      <c r="B311" s="7"/>
      <c r="C311" s="10">
        <v>12631</v>
      </c>
    </row>
    <row r="312" spans="1:3">
      <c r="A312" s="9">
        <v>46042</v>
      </c>
      <c r="B312" s="7" t="s">
        <v>571</v>
      </c>
      <c r="C312" s="10">
        <v>99</v>
      </c>
    </row>
    <row r="313" spans="1:3">
      <c r="A313" s="9">
        <v>46042</v>
      </c>
      <c r="B313" s="7" t="s">
        <v>582</v>
      </c>
      <c r="C313" s="10">
        <v>4999</v>
      </c>
    </row>
    <row r="314" spans="1:3">
      <c r="A314" s="9">
        <v>46042</v>
      </c>
      <c r="B314" s="7" t="s">
        <v>583</v>
      </c>
      <c r="C314" s="10">
        <v>299</v>
      </c>
    </row>
    <row r="315" spans="1:3">
      <c r="A315" s="9">
        <v>46042</v>
      </c>
      <c r="B315" s="7" t="s">
        <v>585</v>
      </c>
      <c r="C315" s="10">
        <v>4999</v>
      </c>
    </row>
    <row r="316" spans="1:3">
      <c r="A316" s="9">
        <v>46042</v>
      </c>
      <c r="B316" s="7" t="s">
        <v>587</v>
      </c>
      <c r="C316" s="10">
        <v>299</v>
      </c>
    </row>
    <row r="317" spans="1:3">
      <c r="A317" s="9">
        <v>46042</v>
      </c>
      <c r="B317" s="7" t="s">
        <v>589</v>
      </c>
      <c r="C317" s="10">
        <v>448</v>
      </c>
    </row>
    <row r="318" spans="1:3">
      <c r="A318" s="9">
        <v>46042</v>
      </c>
      <c r="B318" s="7" t="s">
        <v>592</v>
      </c>
      <c r="C318" s="10">
        <v>149</v>
      </c>
    </row>
    <row r="319" spans="1:3">
      <c r="A319" s="9">
        <v>46042</v>
      </c>
      <c r="B319" s="7" t="s">
        <v>593</v>
      </c>
      <c r="C319" s="10">
        <v>348</v>
      </c>
    </row>
    <row r="320" spans="1:3">
      <c r="A320" s="9">
        <v>46042</v>
      </c>
      <c r="B320" s="7" t="s">
        <v>595</v>
      </c>
      <c r="C320" s="10">
        <v>49</v>
      </c>
    </row>
    <row r="321" spans="1:3">
      <c r="A321" s="9">
        <v>46042</v>
      </c>
      <c r="B321" s="7" t="s">
        <v>598</v>
      </c>
      <c r="C321" s="10">
        <v>299</v>
      </c>
    </row>
    <row r="322" spans="1:3">
      <c r="A322" s="9">
        <v>46042</v>
      </c>
      <c r="B322" s="7" t="s">
        <v>601</v>
      </c>
      <c r="C322" s="10">
        <v>4999</v>
      </c>
    </row>
    <row r="323" spans="1:3">
      <c r="A323" s="9">
        <v>46042</v>
      </c>
      <c r="B323" s="7" t="s">
        <v>603</v>
      </c>
      <c r="C323" s="10">
        <v>149</v>
      </c>
    </row>
    <row r="324" spans="1:3">
      <c r="A324" s="9">
        <v>46042</v>
      </c>
      <c r="B324" s="7" t="s">
        <v>607</v>
      </c>
      <c r="C324" s="10">
        <v>499</v>
      </c>
    </row>
    <row r="325" spans="1:3">
      <c r="A325" s="9">
        <v>46042</v>
      </c>
      <c r="B325" s="7" t="s">
        <v>610</v>
      </c>
      <c r="C325" s="10">
        <v>49</v>
      </c>
    </row>
    <row r="326" spans="1:3">
      <c r="A326" s="9">
        <v>46042</v>
      </c>
      <c r="B326" s="7" t="s">
        <v>612</v>
      </c>
      <c r="C326" s="10">
        <v>149</v>
      </c>
    </row>
    <row r="327" spans="1:3">
      <c r="A327" s="7" t="s">
        <v>652</v>
      </c>
      <c r="B327" s="7"/>
      <c r="C327" s="10">
        <v>17833</v>
      </c>
    </row>
    <row r="328" spans="1:3">
      <c r="A328" s="9">
        <v>46043</v>
      </c>
      <c r="B328" s="7" t="s">
        <v>576</v>
      </c>
      <c r="C328" s="10">
        <v>49</v>
      </c>
    </row>
    <row r="329" spans="1:3">
      <c r="A329" s="9">
        <v>46043</v>
      </c>
      <c r="B329" s="7" t="s">
        <v>578</v>
      </c>
      <c r="C329" s="10">
        <v>1499</v>
      </c>
    </row>
    <row r="330" spans="1:3">
      <c r="A330" s="9">
        <v>46043</v>
      </c>
      <c r="B330" s="7" t="s">
        <v>582</v>
      </c>
      <c r="C330" s="10">
        <v>398</v>
      </c>
    </row>
    <row r="331" spans="1:3">
      <c r="A331" s="9">
        <v>46043</v>
      </c>
      <c r="B331" s="7" t="s">
        <v>583</v>
      </c>
      <c r="C331" s="10">
        <v>149</v>
      </c>
    </row>
    <row r="332" spans="1:3">
      <c r="A332" s="9">
        <v>46043</v>
      </c>
      <c r="B332" s="7" t="s">
        <v>585</v>
      </c>
      <c r="C332" s="10">
        <v>4999</v>
      </c>
    </row>
    <row r="333" spans="1:3">
      <c r="A333" s="9">
        <v>46043</v>
      </c>
      <c r="B333" s="7" t="s">
        <v>594</v>
      </c>
      <c r="C333" s="10">
        <v>99</v>
      </c>
    </row>
    <row r="334" spans="1:3">
      <c r="A334" s="9">
        <v>46043</v>
      </c>
      <c r="B334" s="7" t="s">
        <v>595</v>
      </c>
      <c r="C334" s="10">
        <v>49</v>
      </c>
    </row>
    <row r="335" spans="1:3">
      <c r="A335" s="9">
        <v>46043</v>
      </c>
      <c r="B335" s="7" t="s">
        <v>598</v>
      </c>
      <c r="C335" s="10">
        <v>799</v>
      </c>
    </row>
    <row r="336" spans="1:3">
      <c r="A336" s="9">
        <v>46043</v>
      </c>
      <c r="B336" s="7" t="s">
        <v>601</v>
      </c>
      <c r="C336" s="10">
        <v>499</v>
      </c>
    </row>
    <row r="337" spans="1:3">
      <c r="A337" s="9">
        <v>46043</v>
      </c>
      <c r="B337" s="7" t="s">
        <v>602</v>
      </c>
      <c r="C337" s="10">
        <v>1999</v>
      </c>
    </row>
    <row r="338" spans="1:3">
      <c r="A338" s="9">
        <v>46043</v>
      </c>
      <c r="B338" s="7" t="s">
        <v>605</v>
      </c>
      <c r="C338" s="10">
        <v>49</v>
      </c>
    </row>
    <row r="339" spans="1:3">
      <c r="A339" s="9">
        <v>46043</v>
      </c>
      <c r="B339" s="7" t="s">
        <v>606</v>
      </c>
      <c r="C339" s="10">
        <v>348</v>
      </c>
    </row>
    <row r="340" spans="1:3">
      <c r="A340" s="9">
        <v>46043</v>
      </c>
      <c r="B340" s="7" t="s">
        <v>607</v>
      </c>
      <c r="C340" s="10">
        <v>3298</v>
      </c>
    </row>
    <row r="341" spans="1:3">
      <c r="A341" s="9">
        <v>46043</v>
      </c>
      <c r="B341" s="7" t="s">
        <v>608</v>
      </c>
      <c r="C341" s="10">
        <v>799</v>
      </c>
    </row>
    <row r="342" spans="1:3">
      <c r="A342" s="9">
        <v>46043</v>
      </c>
      <c r="B342" s="7" t="s">
        <v>609</v>
      </c>
      <c r="C342" s="10">
        <v>299</v>
      </c>
    </row>
    <row r="343" spans="1:3">
      <c r="A343" s="9">
        <v>46043</v>
      </c>
      <c r="B343" s="7" t="s">
        <v>612</v>
      </c>
      <c r="C343" s="10">
        <v>99</v>
      </c>
    </row>
    <row r="344" spans="1:3">
      <c r="A344" s="7" t="s">
        <v>653</v>
      </c>
      <c r="B344" s="7"/>
      <c r="C344" s="10">
        <v>15431</v>
      </c>
    </row>
    <row r="345" spans="1:3">
      <c r="A345" s="9">
        <v>46044</v>
      </c>
      <c r="B345" s="7" t="s">
        <v>568</v>
      </c>
      <c r="C345" s="10">
        <v>299</v>
      </c>
    </row>
    <row r="346" spans="1:3">
      <c r="A346" s="9">
        <v>46044</v>
      </c>
      <c r="B346" s="7" t="s">
        <v>571</v>
      </c>
      <c r="C346" s="10">
        <v>499</v>
      </c>
    </row>
    <row r="347" spans="1:3">
      <c r="A347" s="9">
        <v>46044</v>
      </c>
      <c r="B347" s="7" t="s">
        <v>581</v>
      </c>
      <c r="C347" s="10">
        <v>1298</v>
      </c>
    </row>
    <row r="348" spans="1:3">
      <c r="A348" s="9">
        <v>46044</v>
      </c>
      <c r="B348" s="7" t="s">
        <v>584</v>
      </c>
      <c r="C348" s="10">
        <v>99</v>
      </c>
    </row>
    <row r="349" spans="1:3">
      <c r="A349" s="9">
        <v>46044</v>
      </c>
      <c r="B349" s="7" t="s">
        <v>593</v>
      </c>
      <c r="C349" s="10">
        <v>2999</v>
      </c>
    </row>
    <row r="350" spans="1:3">
      <c r="A350" s="9">
        <v>46044</v>
      </c>
      <c r="B350" s="7" t="s">
        <v>597</v>
      </c>
      <c r="C350" s="10">
        <v>49</v>
      </c>
    </row>
    <row r="351" spans="1:3">
      <c r="A351" s="9">
        <v>46044</v>
      </c>
      <c r="B351" s="7" t="s">
        <v>598</v>
      </c>
      <c r="C351" s="10">
        <v>49</v>
      </c>
    </row>
    <row r="352" spans="1:3">
      <c r="A352" s="9">
        <v>46044</v>
      </c>
      <c r="B352" s="7" t="s">
        <v>600</v>
      </c>
      <c r="C352" s="10">
        <v>499</v>
      </c>
    </row>
    <row r="353" spans="1:3">
      <c r="A353" s="9">
        <v>46044</v>
      </c>
      <c r="B353" s="7" t="s">
        <v>601</v>
      </c>
      <c r="C353" s="10">
        <v>49</v>
      </c>
    </row>
    <row r="354" spans="1:3">
      <c r="A354" s="9">
        <v>46044</v>
      </c>
      <c r="B354" s="7" t="s">
        <v>602</v>
      </c>
      <c r="C354" s="10">
        <v>99</v>
      </c>
    </row>
    <row r="355" spans="1:3">
      <c r="A355" s="9">
        <v>46044</v>
      </c>
      <c r="B355" s="7" t="s">
        <v>605</v>
      </c>
      <c r="C355" s="10">
        <v>99</v>
      </c>
    </row>
    <row r="356" spans="1:3">
      <c r="A356" s="9">
        <v>46044</v>
      </c>
      <c r="B356" s="7" t="s">
        <v>607</v>
      </c>
      <c r="C356" s="10">
        <v>99</v>
      </c>
    </row>
    <row r="357" spans="1:3">
      <c r="A357" s="9">
        <v>46044</v>
      </c>
      <c r="B357" s="7" t="s">
        <v>608</v>
      </c>
      <c r="C357" s="10">
        <v>299</v>
      </c>
    </row>
    <row r="358" spans="1:3">
      <c r="A358" s="9">
        <v>46044</v>
      </c>
      <c r="B358" s="7" t="s">
        <v>609</v>
      </c>
      <c r="C358" s="10">
        <v>299</v>
      </c>
    </row>
    <row r="359" spans="1:3">
      <c r="A359" s="9">
        <v>46044</v>
      </c>
      <c r="B359" s="7" t="s">
        <v>613</v>
      </c>
      <c r="C359" s="10">
        <v>299</v>
      </c>
    </row>
    <row r="360" spans="1:3">
      <c r="A360" s="9">
        <v>46044</v>
      </c>
      <c r="B360" s="7" t="s">
        <v>614</v>
      </c>
      <c r="C360" s="10">
        <v>9796</v>
      </c>
    </row>
    <row r="361" spans="1:3">
      <c r="A361" s="7" t="s">
        <v>654</v>
      </c>
      <c r="B361" s="7"/>
      <c r="C361" s="10">
        <v>16830</v>
      </c>
    </row>
    <row r="362" spans="1:3">
      <c r="A362" s="9">
        <v>46045</v>
      </c>
      <c r="B362" s="7" t="s">
        <v>565</v>
      </c>
      <c r="C362" s="10">
        <v>3148</v>
      </c>
    </row>
    <row r="363" spans="1:3">
      <c r="A363" s="9">
        <v>46045</v>
      </c>
      <c r="B363" s="7" t="s">
        <v>571</v>
      </c>
      <c r="C363" s="10">
        <v>49</v>
      </c>
    </row>
    <row r="364" spans="1:3">
      <c r="A364" s="9">
        <v>46045</v>
      </c>
      <c r="B364" s="7" t="s">
        <v>581</v>
      </c>
      <c r="C364" s="10">
        <v>898</v>
      </c>
    </row>
    <row r="365" spans="1:3">
      <c r="A365" s="9">
        <v>46045</v>
      </c>
      <c r="B365" s="7" t="s">
        <v>584</v>
      </c>
      <c r="C365" s="10">
        <v>448</v>
      </c>
    </row>
    <row r="366" spans="1:3">
      <c r="A366" s="9">
        <v>46045</v>
      </c>
      <c r="B366" s="7" t="s">
        <v>589</v>
      </c>
      <c r="C366" s="10">
        <v>399</v>
      </c>
    </row>
    <row r="367" spans="1:3">
      <c r="A367" s="9">
        <v>46045</v>
      </c>
      <c r="B367" s="7" t="s">
        <v>594</v>
      </c>
      <c r="C367" s="10">
        <v>49</v>
      </c>
    </row>
    <row r="368" spans="1:3">
      <c r="A368" s="9">
        <v>46045</v>
      </c>
      <c r="B368" s="7" t="s">
        <v>596</v>
      </c>
      <c r="C368" s="10">
        <v>49</v>
      </c>
    </row>
    <row r="369" spans="1:3">
      <c r="A369" s="9">
        <v>46045</v>
      </c>
      <c r="B369" s="7" t="s">
        <v>597</v>
      </c>
      <c r="C369" s="10">
        <v>247</v>
      </c>
    </row>
    <row r="370" spans="1:3">
      <c r="A370" s="9">
        <v>46045</v>
      </c>
      <c r="B370" s="7" t="s">
        <v>600</v>
      </c>
      <c r="C370" s="10">
        <v>99</v>
      </c>
    </row>
    <row r="371" spans="1:3">
      <c r="A371" s="9">
        <v>46045</v>
      </c>
      <c r="B371" s="7" t="s">
        <v>601</v>
      </c>
      <c r="C371" s="10">
        <v>3998</v>
      </c>
    </row>
    <row r="372" spans="1:3">
      <c r="A372" s="9">
        <v>46045</v>
      </c>
      <c r="B372" s="7" t="s">
        <v>607</v>
      </c>
      <c r="C372" s="10">
        <v>49</v>
      </c>
    </row>
    <row r="373" spans="1:3">
      <c r="A373" s="9">
        <v>46045</v>
      </c>
      <c r="B373" s="7" t="s">
        <v>608</v>
      </c>
      <c r="C373" s="10">
        <v>3148</v>
      </c>
    </row>
    <row r="374" spans="1:3">
      <c r="A374" s="9">
        <v>46045</v>
      </c>
      <c r="B374" s="7" t="s">
        <v>612</v>
      </c>
      <c r="C374" s="10">
        <v>1999</v>
      </c>
    </row>
    <row r="375" spans="1:3">
      <c r="A375" s="9">
        <v>46045</v>
      </c>
      <c r="B375" s="7" t="s">
        <v>613</v>
      </c>
      <c r="C375" s="10">
        <v>499</v>
      </c>
    </row>
    <row r="376" spans="1:3">
      <c r="A376" s="9">
        <v>46045</v>
      </c>
      <c r="B376" s="7" t="s">
        <v>614</v>
      </c>
      <c r="C376" s="10">
        <v>4999</v>
      </c>
    </row>
    <row r="377" spans="1:3">
      <c r="A377" s="9">
        <v>46045</v>
      </c>
      <c r="B377" s="7" t="s">
        <v>615</v>
      </c>
      <c r="C377" s="10">
        <v>598</v>
      </c>
    </row>
    <row r="378" spans="1:3">
      <c r="A378" s="7" t="s">
        <v>655</v>
      </c>
      <c r="B378" s="7"/>
      <c r="C378" s="10">
        <v>20676</v>
      </c>
    </row>
    <row r="379" spans="1:3">
      <c r="A379" s="9">
        <v>46046</v>
      </c>
      <c r="B379" s="7" t="s">
        <v>573</v>
      </c>
      <c r="C379" s="10">
        <v>1499</v>
      </c>
    </row>
    <row r="380" spans="1:3">
      <c r="A380" s="9">
        <v>46046</v>
      </c>
      <c r="B380" s="7" t="s">
        <v>578</v>
      </c>
      <c r="C380" s="10">
        <v>1298</v>
      </c>
    </row>
    <row r="381" spans="1:3">
      <c r="A381" s="9">
        <v>46046</v>
      </c>
      <c r="B381" s="7" t="s">
        <v>583</v>
      </c>
      <c r="C381" s="10">
        <v>1798</v>
      </c>
    </row>
    <row r="382" spans="1:3">
      <c r="A382" s="9">
        <v>46046</v>
      </c>
      <c r="B382" s="7" t="s">
        <v>585</v>
      </c>
      <c r="C382" s="10">
        <v>2999</v>
      </c>
    </row>
    <row r="383" spans="1:3">
      <c r="A383" s="9">
        <v>46046</v>
      </c>
      <c r="B383" s="7" t="s">
        <v>588</v>
      </c>
      <c r="C383" s="10">
        <v>148</v>
      </c>
    </row>
    <row r="384" spans="1:3">
      <c r="A384" s="9">
        <v>46046</v>
      </c>
      <c r="B384" s="7" t="s">
        <v>589</v>
      </c>
      <c r="C384" s="10">
        <v>1548</v>
      </c>
    </row>
    <row r="385" spans="1:3">
      <c r="A385" s="9">
        <v>46046</v>
      </c>
      <c r="B385" s="7" t="s">
        <v>593</v>
      </c>
      <c r="C385" s="10">
        <v>149</v>
      </c>
    </row>
    <row r="386" spans="1:3">
      <c r="A386" s="9">
        <v>46046</v>
      </c>
      <c r="B386" s="7" t="s">
        <v>594</v>
      </c>
      <c r="C386" s="10">
        <v>49</v>
      </c>
    </row>
    <row r="387" spans="1:3">
      <c r="A387" s="9">
        <v>46046</v>
      </c>
      <c r="B387" s="7" t="s">
        <v>598</v>
      </c>
      <c r="C387" s="10">
        <v>148</v>
      </c>
    </row>
    <row r="388" spans="1:3">
      <c r="A388" s="9">
        <v>46046</v>
      </c>
      <c r="B388" s="7" t="s">
        <v>599</v>
      </c>
      <c r="C388" s="10">
        <v>497</v>
      </c>
    </row>
    <row r="389" spans="1:3">
      <c r="A389" s="9">
        <v>46046</v>
      </c>
      <c r="B389" s="7" t="s">
        <v>601</v>
      </c>
      <c r="C389" s="10">
        <v>99</v>
      </c>
    </row>
    <row r="390" spans="1:3">
      <c r="A390" s="9">
        <v>46046</v>
      </c>
      <c r="B390" s="7" t="s">
        <v>606</v>
      </c>
      <c r="C390" s="10">
        <v>49</v>
      </c>
    </row>
    <row r="391" spans="1:3">
      <c r="A391" s="9">
        <v>46046</v>
      </c>
      <c r="B391" s="7" t="s">
        <v>607</v>
      </c>
      <c r="C391" s="10">
        <v>49</v>
      </c>
    </row>
    <row r="392" spans="1:3">
      <c r="A392" s="9">
        <v>46046</v>
      </c>
      <c r="B392" s="7" t="s">
        <v>608</v>
      </c>
      <c r="C392" s="10">
        <v>548</v>
      </c>
    </row>
    <row r="393" spans="1:3">
      <c r="A393" s="9">
        <v>46046</v>
      </c>
      <c r="B393" s="7" t="s">
        <v>609</v>
      </c>
      <c r="C393" s="10">
        <v>149</v>
      </c>
    </row>
    <row r="394" spans="1:3">
      <c r="A394" s="9">
        <v>46046</v>
      </c>
      <c r="B394" s="7" t="s">
        <v>610</v>
      </c>
      <c r="C394" s="10">
        <v>1647</v>
      </c>
    </row>
    <row r="395" spans="1:3">
      <c r="A395" s="7" t="s">
        <v>656</v>
      </c>
      <c r="B395" s="7"/>
      <c r="C395" s="10">
        <v>12674</v>
      </c>
    </row>
    <row r="396" spans="1:3">
      <c r="A396" s="9">
        <v>46047</v>
      </c>
      <c r="B396" s="7" t="s">
        <v>573</v>
      </c>
      <c r="C396" s="10">
        <v>1998</v>
      </c>
    </row>
    <row r="397" spans="1:3">
      <c r="A397" s="9">
        <v>46047</v>
      </c>
      <c r="B397" s="7" t="s">
        <v>578</v>
      </c>
      <c r="C397" s="10">
        <v>99</v>
      </c>
    </row>
    <row r="398" spans="1:3">
      <c r="A398" s="9">
        <v>46047</v>
      </c>
      <c r="B398" s="7" t="s">
        <v>587</v>
      </c>
      <c r="C398" s="10">
        <v>1598</v>
      </c>
    </row>
    <row r="399" spans="1:3">
      <c r="A399" s="9">
        <v>46047</v>
      </c>
      <c r="B399" s="7" t="s">
        <v>589</v>
      </c>
      <c r="C399" s="10">
        <v>98</v>
      </c>
    </row>
    <row r="400" spans="1:3">
      <c r="A400" s="9">
        <v>46047</v>
      </c>
      <c r="B400" s="7" t="s">
        <v>592</v>
      </c>
      <c r="C400" s="10">
        <v>1648</v>
      </c>
    </row>
    <row r="401" spans="1:3">
      <c r="A401" s="9">
        <v>46047</v>
      </c>
      <c r="B401" s="7" t="s">
        <v>593</v>
      </c>
      <c r="C401" s="10">
        <v>49</v>
      </c>
    </row>
    <row r="402" spans="1:3">
      <c r="A402" s="9">
        <v>46047</v>
      </c>
      <c r="B402" s="7" t="s">
        <v>595</v>
      </c>
      <c r="C402" s="10">
        <v>299</v>
      </c>
    </row>
    <row r="403" spans="1:3">
      <c r="A403" s="9">
        <v>46047</v>
      </c>
      <c r="B403" s="7" t="s">
        <v>603</v>
      </c>
      <c r="C403" s="10">
        <v>3896</v>
      </c>
    </row>
    <row r="404" spans="1:3">
      <c r="A404" s="9">
        <v>46047</v>
      </c>
      <c r="B404" s="7" t="s">
        <v>606</v>
      </c>
      <c r="C404" s="10">
        <v>49</v>
      </c>
    </row>
    <row r="405" spans="1:3">
      <c r="A405" s="9">
        <v>46047</v>
      </c>
      <c r="B405" s="7" t="s">
        <v>607</v>
      </c>
      <c r="C405" s="10">
        <v>99</v>
      </c>
    </row>
    <row r="406" spans="1:3">
      <c r="A406" s="7" t="s">
        <v>657</v>
      </c>
      <c r="B406" s="7"/>
      <c r="C406" s="10">
        <v>9833</v>
      </c>
    </row>
    <row r="407" spans="1:3">
      <c r="A407" s="9">
        <v>46048</v>
      </c>
      <c r="B407" s="7" t="s">
        <v>568</v>
      </c>
      <c r="C407" s="10">
        <v>299</v>
      </c>
    </row>
    <row r="408" spans="1:3">
      <c r="A408" s="9">
        <v>46048</v>
      </c>
      <c r="B408" s="7" t="s">
        <v>571</v>
      </c>
      <c r="C408" s="10">
        <v>149</v>
      </c>
    </row>
    <row r="409" spans="1:3">
      <c r="A409" s="9">
        <v>46048</v>
      </c>
      <c r="B409" s="7" t="s">
        <v>576</v>
      </c>
      <c r="C409" s="10">
        <v>897</v>
      </c>
    </row>
    <row r="410" spans="1:3">
      <c r="A410" s="9">
        <v>46048</v>
      </c>
      <c r="B410" s="7" t="s">
        <v>579</v>
      </c>
      <c r="C410" s="10">
        <v>598</v>
      </c>
    </row>
    <row r="411" spans="1:3">
      <c r="A411" s="9">
        <v>46048</v>
      </c>
      <c r="B411" s="7" t="s">
        <v>585</v>
      </c>
      <c r="C411" s="10">
        <v>299</v>
      </c>
    </row>
    <row r="412" spans="1:3">
      <c r="A412" s="9">
        <v>46048</v>
      </c>
      <c r="B412" s="7" t="s">
        <v>588</v>
      </c>
      <c r="C412" s="10">
        <v>4999</v>
      </c>
    </row>
    <row r="413" spans="1:3">
      <c r="A413" s="9">
        <v>46048</v>
      </c>
      <c r="B413" s="7" t="s">
        <v>593</v>
      </c>
      <c r="C413" s="10">
        <v>49</v>
      </c>
    </row>
    <row r="414" spans="1:3">
      <c r="A414" s="9">
        <v>46048</v>
      </c>
      <c r="B414" s="7" t="s">
        <v>595</v>
      </c>
      <c r="C414" s="10">
        <v>99</v>
      </c>
    </row>
    <row r="415" spans="1:3">
      <c r="A415" s="9">
        <v>46048</v>
      </c>
      <c r="B415" s="7" t="s">
        <v>597</v>
      </c>
      <c r="C415" s="10">
        <v>49</v>
      </c>
    </row>
    <row r="416" spans="1:3">
      <c r="A416" s="9">
        <v>46048</v>
      </c>
      <c r="B416" s="7" t="s">
        <v>598</v>
      </c>
      <c r="C416" s="10">
        <v>348</v>
      </c>
    </row>
    <row r="417" spans="1:3">
      <c r="A417" s="9">
        <v>46048</v>
      </c>
      <c r="B417" s="7" t="s">
        <v>604</v>
      </c>
      <c r="C417" s="10">
        <v>799</v>
      </c>
    </row>
    <row r="418" spans="1:3">
      <c r="A418" s="9">
        <v>46048</v>
      </c>
      <c r="B418" s="7" t="s">
        <v>609</v>
      </c>
      <c r="C418" s="10">
        <v>499</v>
      </c>
    </row>
    <row r="419" spans="1:3">
      <c r="A419" s="9">
        <v>46048</v>
      </c>
      <c r="B419" s="7" t="s">
        <v>610</v>
      </c>
      <c r="C419" s="10">
        <v>198</v>
      </c>
    </row>
    <row r="420" spans="1:3">
      <c r="A420" s="7" t="s">
        <v>658</v>
      </c>
      <c r="B420" s="7"/>
      <c r="C420" s="10">
        <v>9282</v>
      </c>
    </row>
    <row r="421" spans="1:3">
      <c r="A421" s="9">
        <v>46049</v>
      </c>
      <c r="B421" s="7" t="s">
        <v>579</v>
      </c>
      <c r="C421" s="10">
        <v>1499</v>
      </c>
    </row>
    <row r="422" spans="1:3">
      <c r="A422" s="9">
        <v>46049</v>
      </c>
      <c r="B422" s="7" t="s">
        <v>584</v>
      </c>
      <c r="C422" s="10">
        <v>149</v>
      </c>
    </row>
    <row r="423" spans="1:3">
      <c r="A423" s="9">
        <v>46049</v>
      </c>
      <c r="B423" s="7" t="s">
        <v>585</v>
      </c>
      <c r="C423" s="10">
        <v>99</v>
      </c>
    </row>
    <row r="424" spans="1:3">
      <c r="A424" s="9">
        <v>46049</v>
      </c>
      <c r="B424" s="7" t="s">
        <v>588</v>
      </c>
      <c r="C424" s="10">
        <v>799</v>
      </c>
    </row>
    <row r="425" spans="1:3">
      <c r="A425" s="9">
        <v>46049</v>
      </c>
      <c r="B425" s="7" t="s">
        <v>589</v>
      </c>
      <c r="C425" s="10">
        <v>348</v>
      </c>
    </row>
    <row r="426" spans="1:3">
      <c r="A426" s="9">
        <v>46049</v>
      </c>
      <c r="B426" s="7" t="s">
        <v>595</v>
      </c>
      <c r="C426" s="10">
        <v>49</v>
      </c>
    </row>
    <row r="427" spans="1:3">
      <c r="A427" s="9">
        <v>46049</v>
      </c>
      <c r="B427" s="7" t="s">
        <v>603</v>
      </c>
      <c r="C427" s="10">
        <v>898</v>
      </c>
    </row>
    <row r="428" spans="1:3">
      <c r="A428" s="9">
        <v>46049</v>
      </c>
      <c r="B428" s="7" t="s">
        <v>606</v>
      </c>
      <c r="C428" s="10">
        <v>1499</v>
      </c>
    </row>
    <row r="429" spans="1:3">
      <c r="A429" s="9">
        <v>46049</v>
      </c>
      <c r="B429" s="7" t="s">
        <v>612</v>
      </c>
      <c r="C429" s="10">
        <v>799</v>
      </c>
    </row>
    <row r="430" spans="1:3">
      <c r="A430" s="7" t="s">
        <v>659</v>
      </c>
      <c r="B430" s="7"/>
      <c r="C430" s="10">
        <v>6139</v>
      </c>
    </row>
    <row r="431" spans="1:3">
      <c r="A431" s="9">
        <v>46050</v>
      </c>
      <c r="B431" s="7" t="s">
        <v>585</v>
      </c>
      <c r="C431" s="10">
        <v>2999</v>
      </c>
    </row>
    <row r="432" spans="1:3">
      <c r="A432" s="9">
        <v>46050</v>
      </c>
      <c r="B432" s="7" t="s">
        <v>589</v>
      </c>
      <c r="C432" s="10">
        <v>49</v>
      </c>
    </row>
    <row r="433" spans="1:3">
      <c r="A433" s="9">
        <v>46050</v>
      </c>
      <c r="B433" s="7" t="s">
        <v>591</v>
      </c>
      <c r="C433" s="10">
        <v>299</v>
      </c>
    </row>
    <row r="434" spans="1:3">
      <c r="A434" s="9">
        <v>46050</v>
      </c>
      <c r="B434" s="7" t="s">
        <v>599</v>
      </c>
      <c r="C434" s="10">
        <v>299</v>
      </c>
    </row>
    <row r="435" spans="1:3">
      <c r="A435" s="9">
        <v>46050</v>
      </c>
      <c r="B435" s="7" t="s">
        <v>600</v>
      </c>
      <c r="C435" s="10">
        <v>1499</v>
      </c>
    </row>
    <row r="436" spans="1:3">
      <c r="A436" s="9">
        <v>46050</v>
      </c>
      <c r="B436" s="7" t="s">
        <v>603</v>
      </c>
      <c r="C436" s="10">
        <v>149</v>
      </c>
    </row>
    <row r="437" spans="1:3">
      <c r="A437" s="9">
        <v>46050</v>
      </c>
      <c r="B437" s="7" t="s">
        <v>604</v>
      </c>
      <c r="C437" s="10">
        <v>49</v>
      </c>
    </row>
    <row r="438" spans="1:3">
      <c r="A438" s="9">
        <v>46050</v>
      </c>
      <c r="B438" s="7" t="s">
        <v>605</v>
      </c>
      <c r="C438" s="10">
        <v>299</v>
      </c>
    </row>
    <row r="439" spans="1:3">
      <c r="A439" s="9">
        <v>46050</v>
      </c>
      <c r="B439" s="7" t="s">
        <v>606</v>
      </c>
      <c r="C439" s="10">
        <v>2999</v>
      </c>
    </row>
    <row r="440" spans="1:3">
      <c r="A440" s="9">
        <v>46050</v>
      </c>
      <c r="B440" s="7" t="s">
        <v>609</v>
      </c>
      <c r="C440" s="10">
        <v>49</v>
      </c>
    </row>
    <row r="441" spans="1:3">
      <c r="A441" s="9">
        <v>46050</v>
      </c>
      <c r="B441" s="7" t="s">
        <v>610</v>
      </c>
      <c r="C441" s="10">
        <v>999</v>
      </c>
    </row>
    <row r="442" spans="1:3">
      <c r="A442" s="9">
        <v>46050</v>
      </c>
      <c r="B442" s="7" t="s">
        <v>612</v>
      </c>
      <c r="C442" s="10">
        <v>697</v>
      </c>
    </row>
    <row r="443" spans="1:3">
      <c r="A443" s="9">
        <v>46050</v>
      </c>
      <c r="B443" s="7" t="s">
        <v>613</v>
      </c>
      <c r="C443" s="10">
        <v>299</v>
      </c>
    </row>
    <row r="444" spans="1:3">
      <c r="A444" s="7" t="s">
        <v>660</v>
      </c>
      <c r="B444" s="7"/>
      <c r="C444" s="10">
        <v>10685</v>
      </c>
    </row>
    <row r="445" spans="1:3">
      <c r="A445" s="9">
        <v>46051</v>
      </c>
      <c r="B445" s="7" t="s">
        <v>571</v>
      </c>
      <c r="C445" s="10">
        <v>49</v>
      </c>
    </row>
    <row r="446" spans="1:3">
      <c r="A446" s="9">
        <v>46051</v>
      </c>
      <c r="B446" s="7" t="s">
        <v>581</v>
      </c>
      <c r="C446" s="10">
        <v>49</v>
      </c>
    </row>
    <row r="447" spans="1:3">
      <c r="A447" s="9">
        <v>46051</v>
      </c>
      <c r="B447" s="7" t="s">
        <v>582</v>
      </c>
      <c r="C447" s="10">
        <v>799</v>
      </c>
    </row>
    <row r="448" spans="1:3">
      <c r="A448" s="9">
        <v>46051</v>
      </c>
      <c r="B448" s="7" t="s">
        <v>583</v>
      </c>
      <c r="C448" s="10">
        <v>149</v>
      </c>
    </row>
    <row r="449" spans="1:3">
      <c r="A449" s="9">
        <v>46051</v>
      </c>
      <c r="B449" s="7" t="s">
        <v>588</v>
      </c>
      <c r="C449" s="10">
        <v>98</v>
      </c>
    </row>
    <row r="450" spans="1:3">
      <c r="A450" s="9">
        <v>46051</v>
      </c>
      <c r="B450" s="7" t="s">
        <v>589</v>
      </c>
      <c r="C450" s="10">
        <v>2999</v>
      </c>
    </row>
    <row r="451" spans="1:3">
      <c r="A451" s="9">
        <v>46051</v>
      </c>
      <c r="B451" s="7" t="s">
        <v>594</v>
      </c>
      <c r="C451" s="10">
        <v>499</v>
      </c>
    </row>
    <row r="452" spans="1:3">
      <c r="A452" s="9">
        <v>46051</v>
      </c>
      <c r="B452" s="7" t="s">
        <v>596</v>
      </c>
      <c r="C452" s="10">
        <v>49</v>
      </c>
    </row>
    <row r="453" spans="1:3">
      <c r="A453" s="9">
        <v>46051</v>
      </c>
      <c r="B453" s="7" t="s">
        <v>599</v>
      </c>
      <c r="C453" s="10">
        <v>3048</v>
      </c>
    </row>
    <row r="454" spans="1:3">
      <c r="A454" s="9">
        <v>46051</v>
      </c>
      <c r="B454" s="7" t="s">
        <v>600</v>
      </c>
      <c r="C454" s="10">
        <v>148</v>
      </c>
    </row>
    <row r="455" spans="1:3">
      <c r="A455" s="9">
        <v>46051</v>
      </c>
      <c r="B455" s="7" t="s">
        <v>604</v>
      </c>
      <c r="C455" s="10">
        <v>149</v>
      </c>
    </row>
    <row r="456" spans="1:3">
      <c r="A456" s="9">
        <v>46051</v>
      </c>
      <c r="B456" s="7" t="s">
        <v>605</v>
      </c>
      <c r="C456" s="10">
        <v>49</v>
      </c>
    </row>
    <row r="457" spans="1:3">
      <c r="A457" s="9">
        <v>46051</v>
      </c>
      <c r="B457" s="7" t="s">
        <v>610</v>
      </c>
      <c r="C457" s="10">
        <v>799</v>
      </c>
    </row>
    <row r="458" spans="1:3">
      <c r="A458" s="9">
        <v>46051</v>
      </c>
      <c r="B458" s="7" t="s">
        <v>612</v>
      </c>
      <c r="C458" s="10">
        <v>149</v>
      </c>
    </row>
    <row r="459" spans="1:3">
      <c r="A459" s="9">
        <v>46051</v>
      </c>
      <c r="B459" s="7" t="s">
        <v>614</v>
      </c>
      <c r="C459" s="10">
        <v>149</v>
      </c>
    </row>
    <row r="460" spans="1:3">
      <c r="A460" s="9">
        <v>46051</v>
      </c>
      <c r="B460" s="7" t="s">
        <v>615</v>
      </c>
      <c r="C460" s="10">
        <v>149</v>
      </c>
    </row>
    <row r="461" spans="1:3">
      <c r="A461" s="7" t="s">
        <v>661</v>
      </c>
      <c r="B461" s="7"/>
      <c r="C461" s="10">
        <v>9331</v>
      </c>
    </row>
    <row r="462" spans="1:3">
      <c r="A462" s="9">
        <v>46052</v>
      </c>
      <c r="B462" s="7" t="s">
        <v>568</v>
      </c>
      <c r="C462" s="10">
        <v>299</v>
      </c>
    </row>
    <row r="463" spans="1:3">
      <c r="A463" s="9">
        <v>46052</v>
      </c>
      <c r="B463" s="7" t="s">
        <v>571</v>
      </c>
      <c r="C463" s="10">
        <v>49</v>
      </c>
    </row>
    <row r="464" spans="1:3">
      <c r="A464" s="9">
        <v>46052</v>
      </c>
      <c r="B464" s="7" t="s">
        <v>574</v>
      </c>
      <c r="C464" s="10">
        <v>2999</v>
      </c>
    </row>
    <row r="465" spans="1:3">
      <c r="A465" s="9">
        <v>46052</v>
      </c>
      <c r="B465" s="7" t="s">
        <v>578</v>
      </c>
      <c r="C465" s="10">
        <v>1999</v>
      </c>
    </row>
    <row r="466" spans="1:3">
      <c r="A466" s="9">
        <v>46052</v>
      </c>
      <c r="B466" s="7" t="s">
        <v>579</v>
      </c>
      <c r="C466" s="10">
        <v>99</v>
      </c>
    </row>
    <row r="467" spans="1:3">
      <c r="A467" s="9">
        <v>46052</v>
      </c>
      <c r="B467" s="7" t="s">
        <v>584</v>
      </c>
      <c r="C467" s="10">
        <v>4999</v>
      </c>
    </row>
    <row r="468" spans="1:3">
      <c r="A468" s="9">
        <v>46052</v>
      </c>
      <c r="B468" s="7" t="s">
        <v>589</v>
      </c>
      <c r="C468" s="10">
        <v>898</v>
      </c>
    </row>
    <row r="469" spans="1:3">
      <c r="A469" s="9">
        <v>46052</v>
      </c>
      <c r="B469" s="7" t="s">
        <v>591</v>
      </c>
      <c r="C469" s="10">
        <v>499</v>
      </c>
    </row>
    <row r="470" spans="1:3">
      <c r="A470" s="9">
        <v>46052</v>
      </c>
      <c r="B470" s="7" t="s">
        <v>600</v>
      </c>
      <c r="C470" s="10">
        <v>1499</v>
      </c>
    </row>
    <row r="471" spans="1:3">
      <c r="A471" s="9">
        <v>46052</v>
      </c>
      <c r="B471" s="7" t="s">
        <v>602</v>
      </c>
      <c r="C471" s="10">
        <v>499</v>
      </c>
    </row>
    <row r="472" spans="1:3">
      <c r="A472" s="9">
        <v>46052</v>
      </c>
      <c r="B472" s="7" t="s">
        <v>604</v>
      </c>
      <c r="C472" s="10">
        <v>49</v>
      </c>
    </row>
    <row r="473" spans="1:3">
      <c r="A473" s="9">
        <v>46052</v>
      </c>
      <c r="B473" s="7" t="s">
        <v>609</v>
      </c>
      <c r="C473" s="10">
        <v>99</v>
      </c>
    </row>
    <row r="474" spans="1:3">
      <c r="A474" s="9">
        <v>46052</v>
      </c>
      <c r="B474" s="7" t="s">
        <v>612</v>
      </c>
      <c r="C474" s="10">
        <v>299</v>
      </c>
    </row>
    <row r="475" spans="1:3">
      <c r="A475" s="9">
        <v>46052</v>
      </c>
      <c r="B475" s="7" t="s">
        <v>615</v>
      </c>
      <c r="C475" s="10">
        <v>499</v>
      </c>
    </row>
    <row r="476" spans="1:3">
      <c r="A476" s="7" t="s">
        <v>662</v>
      </c>
      <c r="B476" s="7"/>
      <c r="C476" s="10">
        <v>14785</v>
      </c>
    </row>
    <row r="477" spans="1:3">
      <c r="A477" s="7" t="s">
        <v>634</v>
      </c>
      <c r="B477" s="7"/>
      <c r="C477" s="10">
        <v>382603</v>
      </c>
    </row>
    <row r="479" spans="1:3">
      <c r="B479" s="12" t="s">
        <v>663</v>
      </c>
      <c r="C479" s="13">
        <f>MEDIAN(C462:C475,C445:C460,C431:C443,C421:C429,C407:C419,C396:C405,C379:C394,C362:C377,C345:C360,C328:C343,C312:C326,C294:C310,C276:C292,C258:C274,C244:C256,C222:C242,C206:C220,C192:C204,C169:C190,C154:C167,C138:C152,C120:C136,C106:C118,C97:C104,C84:C95,C66:C82,C53:C64,C35:C51,C19:C33,C4:C17)</f>
        <v>299</v>
      </c>
    </row>
    <row r="480" spans="1:3">
      <c r="B480" s="12" t="s">
        <v>664</v>
      </c>
      <c r="C480" s="14">
        <f>GETPIVOTDATA("Sum of amount_inr",$A$3)/COUNT(A462:A475,A445:A460,A431:A443,A421:A429,A407:A419,A396:A405,A379:A394,A362:A377,A345:A360,A328:A343,A312:A326,A294:A310,A276:A292,A258:A274,A244:A256,A222:A242,A206:A220,A192:A204,A169:A190,A154:A167,A138:A152,A120:A136,A106:A118,A97:A104,A84:A95,A66:A82,A53:A64,A35:A51,A19:A33,A4:A17)</f>
        <v>863.663656884876</v>
      </c>
    </row>
  </sheetData>
  <mergeCells count="2">
    <mergeCell ref="A2:D2"/>
    <mergeCell ref="F2:R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Ledger</vt:lpstr>
      <vt:lpstr>Merchants</vt:lpstr>
      <vt:lpstr>MDR Rates</vt:lpstr>
      <vt:lpstr>Transactions-view sheet</vt:lpstr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miralraysoni</dc:creator>
  <cp:lastModifiedBy>Miral Raysoni</cp:lastModifiedBy>
  <dcterms:created xsi:type="dcterms:W3CDTF">2026-08-25T03:47:00Z</dcterms:created>
  <dcterms:modified xsi:type="dcterms:W3CDTF">2026-09-01T16:02:37Z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360F17FC0FC8683B42288C6AB43255EF_41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